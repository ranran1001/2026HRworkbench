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400" windowHeight="7860" activeTab="1"/>
  </bookViews>
  <sheets>
    <sheet name="员工信息表" sheetId="13" r:id="rId1"/>
    <sheet name="员工个人动态表" sheetId="16" r:id="rId2"/>
  </sheets>
  <definedNames>
    <definedName name="_xlnm._FilterDatabase" localSheetId="0" hidden="1">员工信息表!$B$4:$O$19</definedName>
  </definedNames>
  <calcPr calcId="144525"/>
</workbook>
</file>

<file path=xl/sharedStrings.xml><?xml version="1.0" encoding="utf-8"?>
<sst xmlns="http://schemas.openxmlformats.org/spreadsheetml/2006/main" count="188" uniqueCount="89">
  <si>
    <t>入职登记表-可查询</t>
  </si>
  <si>
    <t>序号</t>
  </si>
  <si>
    <t>工号</t>
  </si>
  <si>
    <t>姓名</t>
  </si>
  <si>
    <t>性别</t>
  </si>
  <si>
    <t>出生年月</t>
  </si>
  <si>
    <t>部门</t>
  </si>
  <si>
    <t>户籍地址</t>
  </si>
  <si>
    <t>要求职位</t>
  </si>
  <si>
    <t>身份证号码</t>
  </si>
  <si>
    <t>保险</t>
  </si>
  <si>
    <t>在职与否</t>
  </si>
  <si>
    <t>家庭住址</t>
  </si>
  <si>
    <t>电话</t>
  </si>
  <si>
    <t>紧急联系人</t>
  </si>
  <si>
    <t>01011</t>
  </si>
  <si>
    <t>小赵1</t>
  </si>
  <si>
    <t>女</t>
  </si>
  <si>
    <t>后勤</t>
  </si>
  <si>
    <t>上海</t>
  </si>
  <si>
    <t>财务经理</t>
  </si>
  <si>
    <t>1234567890123</t>
  </si>
  <si>
    <t>社保</t>
  </si>
  <si>
    <t>在</t>
  </si>
  <si>
    <t>住址1</t>
  </si>
  <si>
    <t>189745556540</t>
  </si>
  <si>
    <t>父亲：158879115451</t>
  </si>
  <si>
    <t>小赵2</t>
  </si>
  <si>
    <t>外销一</t>
  </si>
  <si>
    <t>修袋</t>
  </si>
  <si>
    <t>退休</t>
  </si>
  <si>
    <t>住址2</t>
  </si>
  <si>
    <t>189745556560</t>
  </si>
  <si>
    <t>母亲：158879115461</t>
  </si>
  <si>
    <t>小赵3</t>
  </si>
  <si>
    <t>内销二</t>
  </si>
  <si>
    <t>跟机</t>
  </si>
  <si>
    <t>住址3</t>
  </si>
  <si>
    <t>小赵4</t>
  </si>
  <si>
    <t>踏攀</t>
  </si>
  <si>
    <t>住址4</t>
  </si>
  <si>
    <t>小赵5</t>
  </si>
  <si>
    <t>安徽</t>
  </si>
  <si>
    <t>组长</t>
  </si>
  <si>
    <t>住址5</t>
  </si>
  <si>
    <t>小赵6</t>
  </si>
  <si>
    <t>男</t>
  </si>
  <si>
    <t>吹膜</t>
  </si>
  <si>
    <t>班长</t>
  </si>
  <si>
    <t>住址6</t>
  </si>
  <si>
    <t>小赵7</t>
  </si>
  <si>
    <t>印刷</t>
  </si>
  <si>
    <t>车间主任</t>
  </si>
  <si>
    <t>住址7</t>
  </si>
  <si>
    <t>10002</t>
  </si>
  <si>
    <t>小赵8</t>
  </si>
  <si>
    <t>计划跟单</t>
  </si>
  <si>
    <t>住址8</t>
  </si>
  <si>
    <t>小赵9</t>
  </si>
  <si>
    <t>外销二</t>
  </si>
  <si>
    <t>质检</t>
  </si>
  <si>
    <t>住址9</t>
  </si>
  <si>
    <t>小赵10</t>
  </si>
  <si>
    <t>技师</t>
  </si>
  <si>
    <t>住址10</t>
  </si>
  <si>
    <t>小赵11</t>
  </si>
  <si>
    <t>后道</t>
  </si>
  <si>
    <t>住址11</t>
  </si>
  <si>
    <t>08001</t>
  </si>
  <si>
    <t>小赵12</t>
  </si>
  <si>
    <t>财务主管</t>
  </si>
  <si>
    <t>住址12</t>
  </si>
  <si>
    <t>小赵13</t>
  </si>
  <si>
    <t>住址13</t>
  </si>
  <si>
    <t>小赵14</t>
  </si>
  <si>
    <t>内销一</t>
  </si>
  <si>
    <t>住址14</t>
  </si>
  <si>
    <t>小赵15</t>
  </si>
  <si>
    <t>车间副主任</t>
  </si>
  <si>
    <t>住址15</t>
  </si>
  <si>
    <t>上海制品有限公司</t>
  </si>
  <si>
    <t>员工入职查询卡片</t>
  </si>
  <si>
    <t>性 别</t>
  </si>
  <si>
    <t>出生日期</t>
  </si>
  <si>
    <t>相片</t>
  </si>
  <si>
    <t>文化程度</t>
  </si>
  <si>
    <t>联系电话</t>
  </si>
  <si>
    <t xml:space="preserve">总经理签名      </t>
  </si>
  <si>
    <t xml:space="preserve"> 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</si>
</sst>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yyyy/m/d;@"/>
  </numFmts>
  <fonts count="31">
    <font>
      <sz val="11"/>
      <color indexed="8"/>
      <name val="宋体"/>
      <charset val="134"/>
    </font>
    <font>
      <sz val="11"/>
      <color indexed="8"/>
      <name val="微软雅黑"/>
      <charset val="134"/>
    </font>
    <font>
      <b/>
      <sz val="18"/>
      <color indexed="8"/>
      <name val="微软雅黑"/>
      <charset val="134"/>
    </font>
    <font>
      <sz val="12"/>
      <color indexed="8"/>
      <name val="微软雅黑"/>
      <charset val="134"/>
    </font>
    <font>
      <b/>
      <sz val="16"/>
      <color indexed="8"/>
      <name val="微软雅黑"/>
      <charset val="134"/>
    </font>
    <font>
      <b/>
      <sz val="12"/>
      <color indexed="8"/>
      <name val="微软雅黑"/>
      <charset val="134"/>
    </font>
    <font>
      <sz val="10.5"/>
      <color indexed="8"/>
      <name val="微软雅黑"/>
      <charset val="134"/>
    </font>
    <font>
      <b/>
      <sz val="18"/>
      <color theme="1"/>
      <name val="微软雅黑"/>
      <charset val="134"/>
    </font>
    <font>
      <b/>
      <sz val="11"/>
      <color theme="0"/>
      <name val="微软雅黑"/>
      <charset val="134"/>
    </font>
    <font>
      <sz val="11"/>
      <color theme="1"/>
      <name val="微软雅黑"/>
      <charset val="134"/>
    </font>
    <font>
      <sz val="11"/>
      <color rgb="FF9C0006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2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</fills>
  <borders count="24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theme="4" tint="0.399975585192419"/>
      </left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97">
    <xf numFmtId="0" fontId="0" fillId="0" borderId="0">
      <alignment vertical="center"/>
    </xf>
    <xf numFmtId="42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12" fillId="26" borderId="0" applyNumberFormat="0" applyBorder="0" applyAlignment="0" applyProtection="0">
      <alignment vertical="center"/>
    </xf>
    <xf numFmtId="0" fontId="23" fillId="21" borderId="20" applyNumberFormat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1" fillId="18" borderId="19" applyNumberFormat="0" applyFont="0" applyAlignment="0" applyProtection="0">
      <alignment vertical="center"/>
    </xf>
    <xf numFmtId="0" fontId="0" fillId="0" borderId="0">
      <alignment vertical="center"/>
    </xf>
    <xf numFmtId="0" fontId="20" fillId="2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4" fillId="0" borderId="22" applyNumberFormat="0" applyFill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14" borderId="18" applyNumberFormat="0" applyAlignment="0" applyProtection="0">
      <alignment vertical="center"/>
    </xf>
    <xf numFmtId="0" fontId="24" fillId="14" borderId="20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7" fillId="10" borderId="16" applyNumberFormat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8" fillId="0" borderId="23" applyNumberFormat="0" applyFill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2" fillId="19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0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0" fillId="0" borderId="0"/>
  </cellStyleXfs>
  <cellXfs count="4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center"/>
    </xf>
    <xf numFmtId="0" fontId="2" fillId="0" borderId="0" xfId="0" applyFont="1" applyAlignment="1">
      <alignment horizontal="distributed" vertical="center"/>
    </xf>
    <xf numFmtId="0" fontId="4" fillId="0" borderId="0" xfId="0" applyFont="1" applyAlignment="1">
      <alignment horizontal="center" vertical="center"/>
    </xf>
    <xf numFmtId="0" fontId="5" fillId="2" borderId="11" xfId="0" applyFont="1" applyFill="1" applyBorder="1" applyAlignment="1">
      <alignment horizontal="center" vertical="center" wrapText="1"/>
    </xf>
    <xf numFmtId="14" fontId="5" fillId="2" borderId="2" xfId="0" applyNumberFormat="1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176" fontId="7" fillId="3" borderId="4" xfId="0" applyNumberFormat="1" applyFont="1" applyFill="1" applyBorder="1" applyAlignment="1">
      <alignment horizontal="center" vertical="center"/>
    </xf>
    <xf numFmtId="0" fontId="8" fillId="4" borderId="15" xfId="0" applyFont="1" applyFill="1" applyBorder="1" applyAlignment="1">
      <alignment horizontal="center" vertical="center"/>
    </xf>
    <xf numFmtId="176" fontId="8" fillId="4" borderId="15" xfId="0" applyNumberFormat="1" applyFont="1" applyFill="1" applyBorder="1" applyAlignment="1">
      <alignment horizontal="center" vertical="center"/>
    </xf>
    <xf numFmtId="0" fontId="8" fillId="4" borderId="15" xfId="0" applyNumberFormat="1" applyFont="1" applyFill="1" applyBorder="1" applyAlignment="1">
      <alignment horizontal="center" vertical="center"/>
    </xf>
    <xf numFmtId="0" fontId="9" fillId="5" borderId="15" xfId="0" applyFont="1" applyFill="1" applyBorder="1" applyAlignment="1">
      <alignment horizontal="center" vertical="center"/>
    </xf>
    <xf numFmtId="49" fontId="9" fillId="5" borderId="15" xfId="0" applyNumberFormat="1" applyFont="1" applyFill="1" applyBorder="1" applyAlignment="1">
      <alignment horizontal="center" vertical="center"/>
    </xf>
    <xf numFmtId="176" fontId="9" fillId="5" borderId="15" xfId="0" applyNumberFormat="1" applyFont="1" applyFill="1" applyBorder="1" applyAlignment="1">
      <alignment horizontal="center" vertical="center"/>
    </xf>
    <xf numFmtId="0" fontId="9" fillId="0" borderId="15" xfId="0" applyFont="1" applyFill="1" applyBorder="1" applyAlignment="1">
      <alignment horizontal="center" vertical="center"/>
    </xf>
    <xf numFmtId="0" fontId="9" fillId="0" borderId="15" xfId="96" applyFont="1" applyFill="1" applyBorder="1" applyAlignment="1">
      <alignment horizontal="center" vertical="center"/>
    </xf>
    <xf numFmtId="176" fontId="9" fillId="0" borderId="15" xfId="0" applyNumberFormat="1" applyFont="1" applyFill="1" applyBorder="1" applyAlignment="1">
      <alignment horizontal="center" vertical="center" wrapText="1"/>
    </xf>
    <xf numFmtId="0" fontId="9" fillId="5" borderId="15" xfId="96" applyFont="1" applyFill="1" applyBorder="1" applyAlignment="1">
      <alignment horizontal="center" vertical="center"/>
    </xf>
    <xf numFmtId="49" fontId="9" fillId="0" borderId="15" xfId="0" applyNumberFormat="1" applyFont="1" applyFill="1" applyBorder="1" applyAlignment="1">
      <alignment horizontal="center" vertical="center"/>
    </xf>
    <xf numFmtId="176" fontId="9" fillId="0" borderId="15" xfId="96" applyNumberFormat="1" applyFont="1" applyFill="1" applyBorder="1" applyAlignment="1">
      <alignment horizontal="center" vertical="center"/>
    </xf>
    <xf numFmtId="176" fontId="9" fillId="5" borderId="15" xfId="96" applyNumberFormat="1" applyFont="1" applyFill="1" applyBorder="1" applyAlignment="1">
      <alignment horizontal="center" vertical="center"/>
    </xf>
    <xf numFmtId="176" fontId="9" fillId="5" borderId="15" xfId="0" applyNumberFormat="1" applyFont="1" applyFill="1" applyBorder="1" applyAlignment="1">
      <alignment horizontal="center" vertical="center" wrapText="1"/>
    </xf>
    <xf numFmtId="176" fontId="9" fillId="0" borderId="15" xfId="0" applyNumberFormat="1" applyFont="1" applyFill="1" applyBorder="1" applyAlignment="1">
      <alignment horizontal="center" vertical="center"/>
    </xf>
    <xf numFmtId="49" fontId="8" fillId="4" borderId="15" xfId="0" applyNumberFormat="1" applyFont="1" applyFill="1" applyBorder="1" applyAlignment="1">
      <alignment horizontal="center" vertical="center"/>
    </xf>
    <xf numFmtId="49" fontId="9" fillId="5" borderId="15" xfId="0" applyNumberFormat="1" applyFont="1" applyFill="1" applyBorder="1" applyAlignment="1" quotePrefix="1">
      <alignment horizontal="center" vertical="center"/>
    </xf>
    <xf numFmtId="49" fontId="9" fillId="0" borderId="15" xfId="0" applyNumberFormat="1" applyFont="1" applyFill="1" applyBorder="1" applyAlignment="1" quotePrefix="1">
      <alignment horizontal="center" vertical="center"/>
    </xf>
    <xf numFmtId="0" fontId="3" fillId="2" borderId="4" xfId="0" applyFont="1" applyFill="1" applyBorder="1" applyAlignment="1" quotePrefix="1">
      <alignment horizontal="center" vertical="center" wrapText="1"/>
    </xf>
  </cellXfs>
  <cellStyles count="97">
    <cellStyle name="常规" xfId="0" builtinId="0"/>
    <cellStyle name="货币[0]" xfId="1" builtinId="7"/>
    <cellStyle name="货币" xfId="2" builtinId="4"/>
    <cellStyle name="常规 39" xfId="3"/>
    <cellStyle name="20% - 强调文字颜色 3" xfId="4" builtinId="38"/>
    <cellStyle name="输入" xfId="5" builtinId="20"/>
    <cellStyle name="千位分隔[0]" xfId="6" builtinId="6"/>
    <cellStyle name="40% - 强调文字颜色 3" xfId="7" builtinId="39"/>
    <cellStyle name="差" xfId="8" builtinId="27"/>
    <cellStyle name="千位分隔" xfId="9" builtinId="3"/>
    <cellStyle name="60% - 强调文字颜色 3" xfId="10" builtinId="40"/>
    <cellStyle name="超链接" xfId="11" builtinId="8"/>
    <cellStyle name="百分比" xfId="12" builtinId="5"/>
    <cellStyle name="已访问的超链接" xfId="13" builtinId="9"/>
    <cellStyle name="注释" xfId="14" builtinId="10"/>
    <cellStyle name="常规 6" xfId="15"/>
    <cellStyle name="60% - 强调文字颜色 2" xfId="16" builtinId="36"/>
    <cellStyle name="标题 4" xfId="17" builtinId="19"/>
    <cellStyle name="警告文本" xfId="18" builtinId="11"/>
    <cellStyle name="标题" xfId="19" builtinId="15"/>
    <cellStyle name="常规 12" xfId="20"/>
    <cellStyle name="解释性文本" xfId="21" builtinId="53"/>
    <cellStyle name="标题 1" xfId="22" builtinId="16"/>
    <cellStyle name="标题 2" xfId="23" builtinId="17"/>
    <cellStyle name="60% - 强调文字颜色 1" xfId="24" builtinId="32"/>
    <cellStyle name="标题 3" xfId="25" builtinId="18"/>
    <cellStyle name="60% - 强调文字颜色 4" xfId="26" builtinId="44"/>
    <cellStyle name="输出" xfId="27" builtinId="21"/>
    <cellStyle name="计算" xfId="28" builtinId="22"/>
    <cellStyle name="常规 31" xfId="29"/>
    <cellStyle name="常规 26" xfId="30"/>
    <cellStyle name="检查单元格" xfId="31" builtinId="23"/>
    <cellStyle name="20% - 强调文字颜色 6" xfId="32" builtinId="50"/>
    <cellStyle name="强调文字颜色 2" xfId="33" builtinId="33"/>
    <cellStyle name="链接单元格" xfId="34" builtinId="24"/>
    <cellStyle name="汇总" xfId="35" builtinId="25"/>
    <cellStyle name="好" xfId="36" builtinId="26"/>
    <cellStyle name="常规 16" xfId="37"/>
    <cellStyle name="常规 21" xfId="38"/>
    <cellStyle name="适中" xfId="39" builtinId="28"/>
    <cellStyle name="20% - 强调文字颜色 5" xfId="40" builtinId="46"/>
    <cellStyle name="强调文字颜色 1" xfId="41" builtinId="29"/>
    <cellStyle name="20% - 强调文字颜色 1" xfId="42" builtinId="30"/>
    <cellStyle name="40% - 强调文字颜色 1" xfId="43" builtinId="31"/>
    <cellStyle name="20% - 强调文字颜色 2" xfId="44" builtinId="34"/>
    <cellStyle name="40% - 强调文字颜色 2" xfId="45" builtinId="35"/>
    <cellStyle name="强调文字颜色 3" xfId="46" builtinId="37"/>
    <cellStyle name="强调文字颜色 4" xfId="47" builtinId="41"/>
    <cellStyle name="20% - 强调文字颜色 4" xfId="48" builtinId="42"/>
    <cellStyle name="40% - 强调文字颜色 4" xfId="49" builtinId="43"/>
    <cellStyle name="强调文字颜色 5" xfId="50" builtinId="45"/>
    <cellStyle name="常规 2 2" xfId="51"/>
    <cellStyle name="40% - 强调文字颜色 5" xfId="52" builtinId="47"/>
    <cellStyle name="60% - 强调文字颜色 5" xfId="53" builtinId="48"/>
    <cellStyle name="强调文字颜色 6" xfId="54" builtinId="49"/>
    <cellStyle name="常规 10" xfId="55"/>
    <cellStyle name="40% - 强调文字颜色 6" xfId="56" builtinId="51"/>
    <cellStyle name="60% - 强调文字颜色 6" xfId="57" builtinId="52"/>
    <cellStyle name="常规 11" xfId="58"/>
    <cellStyle name="常规 13" xfId="59"/>
    <cellStyle name="常规 14" xfId="60"/>
    <cellStyle name="常规 15" xfId="61"/>
    <cellStyle name="常规 20" xfId="62"/>
    <cellStyle name="常规 17" xfId="63"/>
    <cellStyle name="常规 22" xfId="64"/>
    <cellStyle name="常规 18" xfId="65"/>
    <cellStyle name="常规 23" xfId="66"/>
    <cellStyle name="常规 19" xfId="67"/>
    <cellStyle name="常规 24" xfId="68"/>
    <cellStyle name="常规 30" xfId="69"/>
    <cellStyle name="常规 25" xfId="70"/>
    <cellStyle name="常规 32" xfId="71"/>
    <cellStyle name="常规 27" xfId="72"/>
    <cellStyle name="常规 33" xfId="73"/>
    <cellStyle name="常规 28" xfId="74"/>
    <cellStyle name="常规 34" xfId="75"/>
    <cellStyle name="常规 29" xfId="76"/>
    <cellStyle name="常规 3" xfId="77"/>
    <cellStyle name="常规 3 2" xfId="78"/>
    <cellStyle name="常规 3 3" xfId="79"/>
    <cellStyle name="常规 3 4" xfId="80"/>
    <cellStyle name="常规 3 5" xfId="81"/>
    <cellStyle name="常规 3 6" xfId="82"/>
    <cellStyle name="常规 3 7" xfId="83"/>
    <cellStyle name="常规 3 8" xfId="84"/>
    <cellStyle name="常规 40" xfId="85"/>
    <cellStyle name="常规 35" xfId="86"/>
    <cellStyle name="常规 36" xfId="87"/>
    <cellStyle name="常规 37" xfId="88"/>
    <cellStyle name="常规 43" xfId="89"/>
    <cellStyle name="常规 38" xfId="90"/>
    <cellStyle name="常规 4" xfId="91"/>
    <cellStyle name="常规 5" xfId="92"/>
    <cellStyle name="常规 7" xfId="93"/>
    <cellStyle name="常规 8" xfId="94"/>
    <cellStyle name="常规 9" xfId="95"/>
    <cellStyle name="常规_Sheet1" xfId="9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685800</xdr:colOff>
      <xdr:row>1</xdr:row>
      <xdr:rowOff>0</xdr:rowOff>
    </xdr:from>
    <xdr:to>
      <xdr:col>9</xdr:col>
      <xdr:colOff>685800</xdr:colOff>
      <xdr:row>1</xdr:row>
      <xdr:rowOff>123825</xdr:rowOff>
    </xdr:to>
    <xdr:sp>
      <xdr:nvSpPr>
        <xdr:cNvPr id="2" name="AutoShape 1"/>
        <xdr:cNvSpPr>
          <a:spLocks noChangeArrowheads="1"/>
        </xdr:cNvSpPr>
      </xdr:nvSpPr>
      <xdr:spPr>
        <a:xfrm>
          <a:off x="5943600" y="88900"/>
          <a:ext cx="0" cy="123825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9</xdr:col>
      <xdr:colOff>685800</xdr:colOff>
      <xdr:row>1</xdr:row>
      <xdr:rowOff>0</xdr:rowOff>
    </xdr:from>
    <xdr:to>
      <xdr:col>9</xdr:col>
      <xdr:colOff>685800</xdr:colOff>
      <xdr:row>1</xdr:row>
      <xdr:rowOff>124460</xdr:rowOff>
    </xdr:to>
    <xdr:sp>
      <xdr:nvSpPr>
        <xdr:cNvPr id="3" name="AutoShape 1"/>
        <xdr:cNvSpPr>
          <a:spLocks noChangeArrowheads="1"/>
        </xdr:cNvSpPr>
      </xdr:nvSpPr>
      <xdr:spPr>
        <a:xfrm>
          <a:off x="5943600" y="88900"/>
          <a:ext cx="0" cy="124460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9</xdr:col>
      <xdr:colOff>685800</xdr:colOff>
      <xdr:row>19</xdr:row>
      <xdr:rowOff>0</xdr:rowOff>
    </xdr:from>
    <xdr:to>
      <xdr:col>9</xdr:col>
      <xdr:colOff>685800</xdr:colOff>
      <xdr:row>20</xdr:row>
      <xdr:rowOff>23495</xdr:rowOff>
    </xdr:to>
    <xdr:sp>
      <xdr:nvSpPr>
        <xdr:cNvPr id="4" name="AutoShape 1"/>
        <xdr:cNvSpPr>
          <a:spLocks noChangeArrowheads="1"/>
        </xdr:cNvSpPr>
      </xdr:nvSpPr>
      <xdr:spPr>
        <a:xfrm>
          <a:off x="5943600" y="5283200"/>
          <a:ext cx="0" cy="163195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9</xdr:col>
      <xdr:colOff>685800</xdr:colOff>
      <xdr:row>19</xdr:row>
      <xdr:rowOff>0</xdr:rowOff>
    </xdr:from>
    <xdr:to>
      <xdr:col>9</xdr:col>
      <xdr:colOff>685800</xdr:colOff>
      <xdr:row>20</xdr:row>
      <xdr:rowOff>23495</xdr:rowOff>
    </xdr:to>
    <xdr:sp>
      <xdr:nvSpPr>
        <xdr:cNvPr id="5" name="AutoShape 1"/>
        <xdr:cNvSpPr>
          <a:spLocks noChangeArrowheads="1"/>
        </xdr:cNvSpPr>
      </xdr:nvSpPr>
      <xdr:spPr>
        <a:xfrm>
          <a:off x="5943600" y="5283200"/>
          <a:ext cx="0" cy="163195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9</xdr:col>
      <xdr:colOff>685800</xdr:colOff>
      <xdr:row>1</xdr:row>
      <xdr:rowOff>0</xdr:rowOff>
    </xdr:from>
    <xdr:to>
      <xdr:col>9</xdr:col>
      <xdr:colOff>725805</xdr:colOff>
      <xdr:row>4</xdr:row>
      <xdr:rowOff>218440</xdr:rowOff>
    </xdr:to>
    <xdr:sp>
      <xdr:nvSpPr>
        <xdr:cNvPr id="6" name="AutoShape 1" descr="C:\Users\toshiba\Documents\Tencent Files\269616346\Image\w[2`5N4Z`$Y2TV5@IE{TG.jpg"/>
        <xdr:cNvSpPr>
          <a:spLocks noChangeAspect="1" noChangeArrowheads="1"/>
        </xdr:cNvSpPr>
      </xdr:nvSpPr>
      <xdr:spPr>
        <a:xfrm>
          <a:off x="5943600" y="88900"/>
          <a:ext cx="40005" cy="1031240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O20"/>
  <sheetViews>
    <sheetView showGridLines="0" workbookViewId="0">
      <selection activeCell="N9" sqref="N9"/>
    </sheetView>
  </sheetViews>
  <sheetFormatPr defaultColWidth="9" defaultRowHeight="23" customHeight="1"/>
  <cols>
    <col min="1" max="1" width="1.125" style="1" customWidth="1"/>
    <col min="2" max="2" width="4.75" style="1" customWidth="1"/>
    <col min="3" max="3" width="8" style="26" customWidth="1"/>
    <col min="4" max="4" width="7.75" style="26" customWidth="1"/>
    <col min="5" max="5" width="4.875" style="26" customWidth="1"/>
    <col min="6" max="6" width="12" style="27" customWidth="1"/>
    <col min="7" max="7" width="6.875" style="26" customWidth="1"/>
    <col min="8" max="8" width="10.125" style="26" customWidth="1"/>
    <col min="9" max="9" width="13.5" style="26" customWidth="1"/>
    <col min="10" max="10" width="17.875" style="26" customWidth="1"/>
    <col min="11" max="11" width="7.625" style="26" customWidth="1"/>
    <col min="12" max="12" width="11" style="26" customWidth="1"/>
    <col min="13" max="13" width="8.5" style="26" customWidth="1"/>
    <col min="14" max="14" width="16.25" style="26" customWidth="1"/>
    <col min="15" max="15" width="22.25" style="26" customWidth="1"/>
    <col min="16" max="16" width="1.75" style="1" customWidth="1"/>
    <col min="17" max="16384" width="9" style="1"/>
  </cols>
  <sheetData>
    <row r="1" ht="7" customHeight="1"/>
    <row r="2" s="1" customFormat="1" ht="27" customHeight="1" spans="2:15">
      <c r="B2" s="28" t="s">
        <v>0</v>
      </c>
      <c r="C2" s="28"/>
      <c r="D2" s="28"/>
      <c r="E2" s="28"/>
      <c r="F2" s="29"/>
      <c r="G2" s="28"/>
      <c r="H2" s="28"/>
      <c r="I2" s="28"/>
      <c r="J2" s="28"/>
      <c r="K2" s="28"/>
      <c r="L2" s="28"/>
      <c r="M2" s="28"/>
      <c r="N2" s="28"/>
      <c r="O2" s="28"/>
    </row>
    <row r="3" s="1" customFormat="1" ht="7" customHeight="1" spans="3:15"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</row>
    <row r="4" s="26" customFormat="1" ht="30" customHeight="1" spans="2:15">
      <c r="B4" s="30" t="s">
        <v>1</v>
      </c>
      <c r="C4" s="30" t="s">
        <v>2</v>
      </c>
      <c r="D4" s="30" t="s">
        <v>3</v>
      </c>
      <c r="E4" s="30" t="s">
        <v>4</v>
      </c>
      <c r="F4" s="31" t="s">
        <v>5</v>
      </c>
      <c r="G4" s="32" t="s">
        <v>6</v>
      </c>
      <c r="H4" s="32" t="s">
        <v>7</v>
      </c>
      <c r="I4" s="30" t="s">
        <v>8</v>
      </c>
      <c r="J4" s="45" t="s">
        <v>9</v>
      </c>
      <c r="K4" s="30" t="s">
        <v>10</v>
      </c>
      <c r="L4" s="30" t="s">
        <v>11</v>
      </c>
      <c r="M4" s="45" t="s">
        <v>12</v>
      </c>
      <c r="N4" s="45" t="s">
        <v>13</v>
      </c>
      <c r="O4" s="45" t="s">
        <v>14</v>
      </c>
    </row>
    <row r="5" s="26" customFormat="1" customHeight="1" spans="2:15">
      <c r="B5" s="33"/>
      <c r="C5" s="34" t="s">
        <v>15</v>
      </c>
      <c r="D5" s="33" t="s">
        <v>16</v>
      </c>
      <c r="E5" s="33" t="s">
        <v>17</v>
      </c>
      <c r="F5" s="35">
        <v>25476</v>
      </c>
      <c r="G5" s="33" t="s">
        <v>18</v>
      </c>
      <c r="H5" s="33" t="s">
        <v>19</v>
      </c>
      <c r="I5" s="33" t="s">
        <v>20</v>
      </c>
      <c r="J5" s="34" t="s">
        <v>21</v>
      </c>
      <c r="K5" s="33" t="s">
        <v>22</v>
      </c>
      <c r="L5" s="33" t="s">
        <v>23</v>
      </c>
      <c r="M5" s="34" t="s">
        <v>24</v>
      </c>
      <c r="N5" s="46" t="s">
        <v>25</v>
      </c>
      <c r="O5" s="34" t="s">
        <v>26</v>
      </c>
    </row>
    <row r="6" s="26" customFormat="1" customHeight="1" spans="2:15">
      <c r="B6" s="36"/>
      <c r="C6" s="36">
        <v>16038</v>
      </c>
      <c r="D6" s="36" t="s">
        <v>27</v>
      </c>
      <c r="E6" s="37" t="s">
        <v>17</v>
      </c>
      <c r="F6" s="38">
        <v>20599</v>
      </c>
      <c r="G6" s="36" t="s">
        <v>28</v>
      </c>
      <c r="H6" s="36" t="s">
        <v>19</v>
      </c>
      <c r="I6" s="36" t="s">
        <v>29</v>
      </c>
      <c r="J6" s="40" t="s">
        <v>21</v>
      </c>
      <c r="K6" s="36" t="s">
        <v>30</v>
      </c>
      <c r="L6" s="36" t="s">
        <v>23</v>
      </c>
      <c r="M6" s="40" t="s">
        <v>31</v>
      </c>
      <c r="N6" s="47" t="s">
        <v>32</v>
      </c>
      <c r="O6" s="40" t="s">
        <v>33</v>
      </c>
    </row>
    <row r="7" s="26" customFormat="1" customHeight="1" spans="2:15">
      <c r="B7" s="33"/>
      <c r="C7" s="34">
        <v>18099</v>
      </c>
      <c r="D7" s="33" t="s">
        <v>34</v>
      </c>
      <c r="E7" s="39" t="s">
        <v>17</v>
      </c>
      <c r="F7" s="35">
        <v>19247</v>
      </c>
      <c r="G7" s="33" t="s">
        <v>35</v>
      </c>
      <c r="H7" s="33" t="s">
        <v>19</v>
      </c>
      <c r="I7" s="33" t="s">
        <v>36</v>
      </c>
      <c r="J7" s="34" t="s">
        <v>21</v>
      </c>
      <c r="K7" s="33" t="s">
        <v>30</v>
      </c>
      <c r="L7" s="33" t="s">
        <v>23</v>
      </c>
      <c r="M7" s="34" t="s">
        <v>37</v>
      </c>
      <c r="N7" s="34"/>
      <c r="O7" s="34" t="s">
        <v>26</v>
      </c>
    </row>
    <row r="8" s="26" customFormat="1" customHeight="1" spans="2:15">
      <c r="B8" s="36"/>
      <c r="C8" s="40">
        <v>19010</v>
      </c>
      <c r="D8" s="36" t="s">
        <v>38</v>
      </c>
      <c r="E8" s="37" t="s">
        <v>17</v>
      </c>
      <c r="F8" s="41">
        <v>20033</v>
      </c>
      <c r="G8" s="36" t="s">
        <v>28</v>
      </c>
      <c r="H8" s="36" t="s">
        <v>19</v>
      </c>
      <c r="I8" s="36" t="s">
        <v>39</v>
      </c>
      <c r="J8" s="40" t="s">
        <v>21</v>
      </c>
      <c r="K8" s="36" t="s">
        <v>30</v>
      </c>
      <c r="L8" s="36" t="s">
        <v>23</v>
      </c>
      <c r="M8" s="40" t="s">
        <v>40</v>
      </c>
      <c r="N8" s="40"/>
      <c r="O8" s="40" t="s">
        <v>33</v>
      </c>
    </row>
    <row r="9" s="26" customFormat="1" customHeight="1" spans="2:15">
      <c r="B9" s="33"/>
      <c r="C9" s="34">
        <v>19025</v>
      </c>
      <c r="D9" s="33" t="s">
        <v>41</v>
      </c>
      <c r="E9" s="33" t="s">
        <v>17</v>
      </c>
      <c r="F9" s="42">
        <v>26553</v>
      </c>
      <c r="G9" s="33" t="s">
        <v>28</v>
      </c>
      <c r="H9" s="33" t="s">
        <v>42</v>
      </c>
      <c r="I9" s="33" t="s">
        <v>43</v>
      </c>
      <c r="J9" s="34" t="s">
        <v>21</v>
      </c>
      <c r="K9" s="33" t="s">
        <v>22</v>
      </c>
      <c r="L9" s="33" t="s">
        <v>23</v>
      </c>
      <c r="M9" s="34" t="s">
        <v>44</v>
      </c>
      <c r="N9" s="33"/>
      <c r="O9" s="34" t="s">
        <v>26</v>
      </c>
    </row>
    <row r="10" s="26" customFormat="1" customHeight="1" spans="2:15">
      <c r="B10" s="36"/>
      <c r="C10" s="37">
        <v>14023</v>
      </c>
      <c r="D10" s="36" t="s">
        <v>45</v>
      </c>
      <c r="E10" s="37" t="s">
        <v>46</v>
      </c>
      <c r="F10" s="38">
        <v>27683</v>
      </c>
      <c r="G10" s="36" t="s">
        <v>47</v>
      </c>
      <c r="H10" s="36" t="s">
        <v>42</v>
      </c>
      <c r="I10" s="36" t="s">
        <v>48</v>
      </c>
      <c r="J10" s="40" t="s">
        <v>21</v>
      </c>
      <c r="K10" s="36" t="s">
        <v>22</v>
      </c>
      <c r="L10" s="36" t="s">
        <v>23</v>
      </c>
      <c r="M10" s="40" t="s">
        <v>49</v>
      </c>
      <c r="N10" s="36"/>
      <c r="O10" s="40" t="s">
        <v>33</v>
      </c>
    </row>
    <row r="11" s="26" customFormat="1" customHeight="1" spans="2:15">
      <c r="B11" s="33"/>
      <c r="C11" s="33">
        <v>15005</v>
      </c>
      <c r="D11" s="33" t="s">
        <v>50</v>
      </c>
      <c r="E11" s="33" t="s">
        <v>46</v>
      </c>
      <c r="F11" s="35">
        <v>28995</v>
      </c>
      <c r="G11" s="33" t="s">
        <v>51</v>
      </c>
      <c r="H11" s="33" t="s">
        <v>42</v>
      </c>
      <c r="I11" s="33" t="s">
        <v>52</v>
      </c>
      <c r="J11" s="34" t="s">
        <v>21</v>
      </c>
      <c r="K11" s="33" t="s">
        <v>22</v>
      </c>
      <c r="L11" s="33" t="s">
        <v>23</v>
      </c>
      <c r="M11" s="34" t="s">
        <v>53</v>
      </c>
      <c r="N11" s="33"/>
      <c r="O11" s="34" t="s">
        <v>26</v>
      </c>
    </row>
    <row r="12" s="26" customFormat="1" customHeight="1" spans="2:15">
      <c r="B12" s="36"/>
      <c r="C12" s="40" t="s">
        <v>54</v>
      </c>
      <c r="D12" s="36" t="s">
        <v>55</v>
      </c>
      <c r="E12" s="36" t="s">
        <v>17</v>
      </c>
      <c r="F12" s="38">
        <v>22444</v>
      </c>
      <c r="G12" s="36" t="s">
        <v>18</v>
      </c>
      <c r="H12" s="36" t="s">
        <v>19</v>
      </c>
      <c r="I12" s="36" t="s">
        <v>56</v>
      </c>
      <c r="J12" s="40" t="s">
        <v>21</v>
      </c>
      <c r="K12" s="36" t="s">
        <v>30</v>
      </c>
      <c r="L12" s="36" t="s">
        <v>23</v>
      </c>
      <c r="M12" s="40" t="s">
        <v>57</v>
      </c>
      <c r="N12" s="40"/>
      <c r="O12" s="40" t="s">
        <v>33</v>
      </c>
    </row>
    <row r="13" s="26" customFormat="1" customHeight="1" spans="2:15">
      <c r="B13" s="33"/>
      <c r="C13" s="33">
        <v>17000</v>
      </c>
      <c r="D13" s="33" t="s">
        <v>58</v>
      </c>
      <c r="E13" s="33" t="s">
        <v>17</v>
      </c>
      <c r="F13" s="35">
        <v>28949</v>
      </c>
      <c r="G13" s="33" t="s">
        <v>59</v>
      </c>
      <c r="H13" s="33" t="s">
        <v>19</v>
      </c>
      <c r="I13" s="33" t="s">
        <v>60</v>
      </c>
      <c r="J13" s="34" t="s">
        <v>21</v>
      </c>
      <c r="K13" s="33" t="s">
        <v>22</v>
      </c>
      <c r="L13" s="33" t="s">
        <v>23</v>
      </c>
      <c r="M13" s="34" t="s">
        <v>61</v>
      </c>
      <c r="N13" s="33"/>
      <c r="O13" s="34" t="s">
        <v>26</v>
      </c>
    </row>
    <row r="14" s="26" customFormat="1" customHeight="1" spans="2:15">
      <c r="B14" s="36"/>
      <c r="C14" s="36">
        <v>15001</v>
      </c>
      <c r="D14" s="36" t="s">
        <v>62</v>
      </c>
      <c r="E14" s="36" t="s">
        <v>46</v>
      </c>
      <c r="F14" s="38">
        <v>24795</v>
      </c>
      <c r="G14" s="36" t="s">
        <v>51</v>
      </c>
      <c r="H14" s="36" t="s">
        <v>19</v>
      </c>
      <c r="I14" s="36" t="s">
        <v>63</v>
      </c>
      <c r="J14" s="40" t="s">
        <v>21</v>
      </c>
      <c r="K14" s="36" t="s">
        <v>22</v>
      </c>
      <c r="L14" s="36" t="s">
        <v>23</v>
      </c>
      <c r="M14" s="40" t="s">
        <v>64</v>
      </c>
      <c r="N14" s="36"/>
      <c r="O14" s="40" t="s">
        <v>33</v>
      </c>
    </row>
    <row r="15" s="26" customFormat="1" customHeight="1" spans="2:15">
      <c r="B15" s="33"/>
      <c r="C15" s="33">
        <v>16031</v>
      </c>
      <c r="D15" s="33" t="s">
        <v>65</v>
      </c>
      <c r="E15" s="39" t="s">
        <v>17</v>
      </c>
      <c r="F15" s="43">
        <v>24995</v>
      </c>
      <c r="G15" s="33" t="s">
        <v>28</v>
      </c>
      <c r="H15" s="33" t="s">
        <v>42</v>
      </c>
      <c r="I15" s="33" t="s">
        <v>66</v>
      </c>
      <c r="J15" s="34" t="s">
        <v>21</v>
      </c>
      <c r="K15" s="33" t="s">
        <v>22</v>
      </c>
      <c r="L15" s="33" t="s">
        <v>23</v>
      </c>
      <c r="M15" s="34" t="s">
        <v>67</v>
      </c>
      <c r="N15" s="33"/>
      <c r="O15" s="34" t="s">
        <v>26</v>
      </c>
    </row>
    <row r="16" s="26" customFormat="1" customHeight="1" spans="2:15">
      <c r="B16" s="36"/>
      <c r="C16" s="40" t="s">
        <v>68</v>
      </c>
      <c r="D16" s="36" t="s">
        <v>69</v>
      </c>
      <c r="E16" s="36" t="s">
        <v>17</v>
      </c>
      <c r="F16" s="44">
        <v>29165</v>
      </c>
      <c r="G16" s="36" t="s">
        <v>18</v>
      </c>
      <c r="H16" s="36" t="s">
        <v>19</v>
      </c>
      <c r="I16" s="36" t="s">
        <v>70</v>
      </c>
      <c r="J16" s="40" t="s">
        <v>21</v>
      </c>
      <c r="K16" s="36" t="s">
        <v>22</v>
      </c>
      <c r="L16" s="36" t="s">
        <v>23</v>
      </c>
      <c r="M16" s="40" t="s">
        <v>71</v>
      </c>
      <c r="N16" s="40"/>
      <c r="O16" s="40" t="s">
        <v>33</v>
      </c>
    </row>
    <row r="17" s="26" customFormat="1" customHeight="1" spans="2:15">
      <c r="B17" s="33"/>
      <c r="C17" s="34">
        <v>19016</v>
      </c>
      <c r="D17" s="33" t="s">
        <v>72</v>
      </c>
      <c r="E17" s="33" t="s">
        <v>17</v>
      </c>
      <c r="F17" s="35">
        <v>25631</v>
      </c>
      <c r="G17" s="33" t="s">
        <v>28</v>
      </c>
      <c r="H17" s="33" t="s">
        <v>42</v>
      </c>
      <c r="I17" s="33" t="s">
        <v>39</v>
      </c>
      <c r="J17" s="34" t="s">
        <v>21</v>
      </c>
      <c r="K17" s="33" t="s">
        <v>22</v>
      </c>
      <c r="L17" s="33" t="s">
        <v>23</v>
      </c>
      <c r="M17" s="34" t="s">
        <v>73</v>
      </c>
      <c r="N17" s="33"/>
      <c r="O17" s="34" t="s">
        <v>26</v>
      </c>
    </row>
    <row r="18" s="26" customFormat="1" customHeight="1" spans="2:15">
      <c r="B18" s="36"/>
      <c r="C18" s="36">
        <v>18030</v>
      </c>
      <c r="D18" s="36" t="s">
        <v>74</v>
      </c>
      <c r="E18" s="37" t="s">
        <v>17</v>
      </c>
      <c r="F18" s="41">
        <v>24807</v>
      </c>
      <c r="G18" s="36" t="s">
        <v>75</v>
      </c>
      <c r="H18" s="36" t="s">
        <v>42</v>
      </c>
      <c r="I18" s="36" t="s">
        <v>36</v>
      </c>
      <c r="J18" s="40" t="s">
        <v>21</v>
      </c>
      <c r="K18" s="36" t="s">
        <v>30</v>
      </c>
      <c r="L18" s="36" t="s">
        <v>23</v>
      </c>
      <c r="M18" s="40" t="s">
        <v>76</v>
      </c>
      <c r="N18" s="36"/>
      <c r="O18" s="40" t="s">
        <v>33</v>
      </c>
    </row>
    <row r="19" s="26" customFormat="1" customHeight="1" spans="2:15">
      <c r="B19" s="33"/>
      <c r="C19" s="33">
        <v>28000</v>
      </c>
      <c r="D19" s="33" t="s">
        <v>77</v>
      </c>
      <c r="E19" s="33" t="s">
        <v>46</v>
      </c>
      <c r="F19" s="43">
        <v>23580</v>
      </c>
      <c r="G19" s="33" t="s">
        <v>28</v>
      </c>
      <c r="H19" s="33" t="s">
        <v>42</v>
      </c>
      <c r="I19" s="33" t="s">
        <v>78</v>
      </c>
      <c r="J19" s="34" t="s">
        <v>21</v>
      </c>
      <c r="K19" s="33" t="s">
        <v>22</v>
      </c>
      <c r="L19" s="33" t="s">
        <v>23</v>
      </c>
      <c r="M19" s="34" t="s">
        <v>79</v>
      </c>
      <c r="N19" s="33"/>
      <c r="O19" s="34"/>
    </row>
    <row r="20" ht="11" customHeight="1"/>
  </sheetData>
  <mergeCells count="1">
    <mergeCell ref="B2:O2"/>
  </mergeCells>
  <dataValidations count="1">
    <dataValidation type="list" allowBlank="1" showInputMessage="1" showErrorMessage="1" sqref="E4">
      <formula1>$D$4</formula1>
    </dataValidation>
  </dataValidations>
  <pageMargins left="0" right="0" top="1" bottom="1" header="0.511805555555556" footer="0.511805555555556"/>
  <pageSetup paperSize="9" scale="80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U13"/>
  <sheetViews>
    <sheetView showGridLines="0" tabSelected="1" workbookViewId="0">
      <selection activeCell="Y3" sqref="Y3"/>
    </sheetView>
  </sheetViews>
  <sheetFormatPr defaultColWidth="9" defaultRowHeight="16.5"/>
  <cols>
    <col min="1" max="1" width="2" style="1" customWidth="1"/>
    <col min="2" max="5" width="3.625" style="1" customWidth="1"/>
    <col min="6" max="6" width="4.625" style="1" customWidth="1"/>
    <col min="7" max="13" width="3.625" style="1" customWidth="1"/>
    <col min="14" max="14" width="1.875" style="1" customWidth="1"/>
    <col min="15" max="16" width="3.625" style="1" customWidth="1"/>
    <col min="17" max="17" width="10.25" style="1" customWidth="1"/>
    <col min="18" max="19" width="3.625" style="1" customWidth="1"/>
    <col min="20" max="20" width="9.125" style="1" customWidth="1"/>
    <col min="21" max="21" width="17" style="1" customWidth="1"/>
    <col min="22" max="22" width="1.625" style="1" customWidth="1"/>
    <col min="23" max="16384" width="9" style="1"/>
  </cols>
  <sheetData>
    <row r="1" ht="24.75" spans="2:21">
      <c r="B1" s="2"/>
      <c r="C1" s="2"/>
      <c r="D1" s="2"/>
      <c r="E1" s="2"/>
      <c r="F1" s="2"/>
      <c r="G1" s="2"/>
      <c r="H1" s="2"/>
      <c r="I1" s="18" t="s">
        <v>80</v>
      </c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2"/>
    </row>
    <row r="2" ht="26.1" customHeight="1" spans="2:19">
      <c r="B2" s="3" t="s">
        <v>2</v>
      </c>
      <c r="C2" s="3"/>
      <c r="D2" s="3" t="s">
        <v>15</v>
      </c>
      <c r="E2" s="3"/>
      <c r="F2" s="3"/>
      <c r="H2" s="4"/>
      <c r="I2" s="4"/>
      <c r="J2" s="19" t="s">
        <v>81</v>
      </c>
      <c r="K2" s="19"/>
      <c r="L2" s="19"/>
      <c r="M2" s="19"/>
      <c r="N2" s="19"/>
      <c r="O2" s="19"/>
      <c r="P2" s="19"/>
      <c r="Q2" s="19"/>
      <c r="R2" s="19"/>
      <c r="S2" s="19"/>
    </row>
    <row r="3" ht="17.25"/>
    <row r="4" ht="28" customHeight="1" spans="2:21">
      <c r="B4" s="5" t="s">
        <v>3</v>
      </c>
      <c r="C4" s="6"/>
      <c r="D4" s="6"/>
      <c r="E4" s="7" t="str">
        <f>VLOOKUP(D2,员工信息表!C5:D1702,2,)</f>
        <v>小赵1</v>
      </c>
      <c r="F4" s="7"/>
      <c r="G4" s="7"/>
      <c r="H4" s="6" t="s">
        <v>82</v>
      </c>
      <c r="I4" s="6"/>
      <c r="J4" s="6"/>
      <c r="K4" s="7" t="str">
        <f>VLOOKUP(D2,员工信息表!C5:E172,3,)</f>
        <v>女</v>
      </c>
      <c r="L4" s="6" t="s">
        <v>6</v>
      </c>
      <c r="M4" s="6"/>
      <c r="N4" s="7" t="str">
        <f>VLOOKUP(D2,员工信息表!C5:O1702,5,)</f>
        <v>后勤</v>
      </c>
      <c r="O4" s="7"/>
      <c r="P4" s="7"/>
      <c r="Q4" s="6" t="s">
        <v>83</v>
      </c>
      <c r="R4" s="21">
        <f>VLOOKUP(D2,员工信息表!C5:F172,4,)</f>
        <v>25476</v>
      </c>
      <c r="S4" s="21"/>
      <c r="T4" s="21"/>
      <c r="U4" s="22" t="s">
        <v>84</v>
      </c>
    </row>
    <row r="5" ht="28" customHeight="1" spans="2:21">
      <c r="B5" s="8" t="s">
        <v>7</v>
      </c>
      <c r="C5" s="9"/>
      <c r="D5" s="9"/>
      <c r="E5" s="10" t="str">
        <f>VLOOKUP(D2,员工信息表!C5:O1702,6,0)</f>
        <v>上海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23"/>
    </row>
    <row r="6" ht="28" customHeight="1" spans="2:21">
      <c r="B6" s="8" t="s">
        <v>12</v>
      </c>
      <c r="C6" s="9"/>
      <c r="D6" s="9"/>
      <c r="E6" s="10" t="str">
        <f>VLOOKUP(D2,员工信息表!C5:O1702,11,)</f>
        <v>住址1</v>
      </c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23"/>
    </row>
    <row r="7" ht="28" customHeight="1" spans="2:21">
      <c r="B7" s="8" t="s">
        <v>9</v>
      </c>
      <c r="C7" s="9"/>
      <c r="D7" s="9"/>
      <c r="E7" s="10" t="str">
        <f>VLOOKUP(D2,员工信息表!C5:O212,8,)</f>
        <v>1234567890123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23"/>
    </row>
    <row r="8" ht="28" customHeight="1" spans="2:21">
      <c r="B8" s="8" t="s">
        <v>14</v>
      </c>
      <c r="C8" s="9"/>
      <c r="D8" s="9"/>
      <c r="E8" s="11" t="str">
        <f>VLOOKUP(D2,员工信息表!C5:O212,13,)</f>
        <v>父亲：158879115451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20"/>
      <c r="U8" s="23"/>
    </row>
    <row r="9" ht="28" customHeight="1" spans="2:21">
      <c r="B9" s="8" t="s">
        <v>85</v>
      </c>
      <c r="C9" s="9"/>
      <c r="D9" s="9"/>
      <c r="E9" s="11" t="str">
        <f>VLOOKUP(D2,员工信息表!C5:O212,13,)</f>
        <v>父亲：158879115451</v>
      </c>
      <c r="F9" s="12"/>
      <c r="G9" s="12"/>
      <c r="H9" s="12"/>
      <c r="I9" s="12"/>
      <c r="J9" s="12"/>
      <c r="K9" s="12"/>
      <c r="L9" s="12"/>
      <c r="M9" s="12"/>
      <c r="N9" s="20"/>
      <c r="O9" s="9" t="s">
        <v>11</v>
      </c>
      <c r="P9" s="9"/>
      <c r="Q9" s="9"/>
      <c r="R9" s="24" t="str">
        <f>VLOOKUP(D2,员工信息表!C5:O212,10,)</f>
        <v>在</v>
      </c>
      <c r="S9" s="24"/>
      <c r="T9" s="24"/>
      <c r="U9" s="23"/>
    </row>
    <row r="10" ht="28" customHeight="1" spans="2:21">
      <c r="B10" s="8" t="s">
        <v>8</v>
      </c>
      <c r="C10" s="9"/>
      <c r="D10" s="9"/>
      <c r="E10" s="11" t="str">
        <f>VLOOKUP(D2,员工信息表!C5:O212,7,)</f>
        <v>财务经理</v>
      </c>
      <c r="F10" s="12"/>
      <c r="G10" s="12"/>
      <c r="H10" s="12"/>
      <c r="I10" s="12"/>
      <c r="J10" s="12"/>
      <c r="K10" s="12"/>
      <c r="L10" s="12"/>
      <c r="M10" s="12"/>
      <c r="N10" s="20"/>
      <c r="O10" s="9" t="s">
        <v>86</v>
      </c>
      <c r="P10" s="9"/>
      <c r="Q10" s="9"/>
      <c r="R10" s="48" t="str">
        <f>VLOOKUP(D2,员工信息表!C5:O212,12,)</f>
        <v>189745556540</v>
      </c>
      <c r="S10" s="24"/>
      <c r="T10" s="24"/>
      <c r="U10" s="23"/>
    </row>
    <row r="11" ht="24" customHeight="1" spans="2:21">
      <c r="B11" s="13" t="s">
        <v>87</v>
      </c>
      <c r="C11" s="14"/>
      <c r="D11" s="14"/>
      <c r="E11" s="14"/>
      <c r="F11" s="15"/>
      <c r="G11" s="16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25"/>
    </row>
    <row r="13" ht="17.25" spans="2:2">
      <c r="B13" s="17" t="s">
        <v>88</v>
      </c>
    </row>
  </sheetData>
  <mergeCells count="29">
    <mergeCell ref="I1:T1"/>
    <mergeCell ref="B2:C2"/>
    <mergeCell ref="D2:F2"/>
    <mergeCell ref="J2:S2"/>
    <mergeCell ref="B4:D4"/>
    <mergeCell ref="E4:G4"/>
    <mergeCell ref="H4:J4"/>
    <mergeCell ref="L4:M4"/>
    <mergeCell ref="N4:P4"/>
    <mergeCell ref="R4:T4"/>
    <mergeCell ref="B5:D5"/>
    <mergeCell ref="E5:T5"/>
    <mergeCell ref="B6:D6"/>
    <mergeCell ref="E6:T6"/>
    <mergeCell ref="B7:D7"/>
    <mergeCell ref="E7:T7"/>
    <mergeCell ref="B8:D8"/>
    <mergeCell ref="E8:T8"/>
    <mergeCell ref="B9:D9"/>
    <mergeCell ref="E9:N9"/>
    <mergeCell ref="O9:Q9"/>
    <mergeCell ref="R9:T9"/>
    <mergeCell ref="B10:D10"/>
    <mergeCell ref="E10:N10"/>
    <mergeCell ref="O10:Q10"/>
    <mergeCell ref="R10:T10"/>
    <mergeCell ref="B11:F11"/>
    <mergeCell ref="G11:U11"/>
    <mergeCell ref="U4:U10"/>
  </mergeCells>
  <dataValidations count="2">
    <dataValidation type="list" allowBlank="1" showInputMessage="1" showErrorMessage="1" sqref="E4:G4">
      <formula1>员工信息表!$D$5:$D$19</formula1>
    </dataValidation>
    <dataValidation type="list" allowBlank="1" showInputMessage="1" showErrorMessage="1" sqref="D2:F2">
      <formula1>员工信息表!$C$5:$C$19</formula1>
    </dataValidation>
  </dataValidations>
  <printOptions horizontalCentered="1" verticalCentered="1"/>
  <pageMargins left="0.0388888888888889" right="0.0388888888888889" top="0.0388888888888889" bottom="0.0388888888888889" header="0.0388888888888889" footer="0.0388888888888889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员工信息表</vt:lpstr>
      <vt:lpstr>员工个人动态表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1</cp:lastModifiedBy>
  <dcterms:created xsi:type="dcterms:W3CDTF">2006-09-13T11:21:00Z</dcterms:created>
  <cp:lastPrinted>2018-07-19T02:02:00Z</cp:lastPrinted>
  <dcterms:modified xsi:type="dcterms:W3CDTF">2020-02-18T10:25:26Z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2052-11.1.0.9440</vt:lpwstr>
  </property>
</Properties>
</file>