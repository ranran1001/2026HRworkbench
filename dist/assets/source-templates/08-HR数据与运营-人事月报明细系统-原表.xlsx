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70" windowHeight="7580" tabRatio="950" firstSheet="2"/>
  </bookViews>
  <sheets>
    <sheet name="目录" sheetId="15" r:id="rId1"/>
    <sheet name="1-员工基本信息" sheetId="2" r:id="rId2"/>
    <sheet name="2-人员类别明细" sheetId="3" r:id="rId3"/>
    <sheet name="3-员工情况统计" sheetId="5" r:id="rId4"/>
    <sheet name="4-招聘信息明细" sheetId="4" r:id="rId5"/>
    <sheet name="5-员工到岗统计" sheetId="6" r:id="rId6"/>
    <sheet name="6-员工入职明细" sheetId="7" r:id="rId7"/>
    <sheet name="7-员工培训明细" sheetId="11" r:id="rId8"/>
    <sheet name="8-员工转正明细" sheetId="12" r:id="rId9"/>
    <sheet name="9-员工任命明细" sheetId="8" r:id="rId10"/>
    <sheet name="10-员工签订合同" sheetId="10" r:id="rId11"/>
    <sheet name="11-员工续签合同" sheetId="13" r:id="rId12"/>
    <sheet name="12-员工离职明细" sheetId="9" r:id="rId13"/>
    <sheet name="13-人事费用明细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<sst xmlns="http://schemas.openxmlformats.org/spreadsheetml/2006/main" count="261" uniqueCount="163">
  <si>
    <t>员工基本信息</t>
  </si>
  <si>
    <t>序号</t>
  </si>
  <si>
    <t>员工编号</t>
  </si>
  <si>
    <t>部门</t>
  </si>
  <si>
    <t>职位</t>
  </si>
  <si>
    <t>职级</t>
  </si>
  <si>
    <t>姓名</t>
  </si>
  <si>
    <t>性别</t>
  </si>
  <si>
    <t>出生日期</t>
  </si>
  <si>
    <t>籍贯</t>
  </si>
  <si>
    <t>户口所在地址</t>
  </si>
  <si>
    <t>身份证号码</t>
  </si>
  <si>
    <t>现住址</t>
  </si>
  <si>
    <t>联系电话</t>
  </si>
  <si>
    <t>学历</t>
  </si>
  <si>
    <t>毕业院校</t>
  </si>
  <si>
    <t>专业</t>
  </si>
  <si>
    <t>政治面貌</t>
  </si>
  <si>
    <t>入司时间</t>
  </si>
  <si>
    <t>紧急联系人姓名及电话</t>
  </si>
  <si>
    <t>销售部</t>
  </si>
  <si>
    <t>专员</t>
  </si>
  <si>
    <t>姓名1</t>
  </si>
  <si>
    <t>女</t>
  </si>
  <si>
    <t>上海</t>
  </si>
  <si>
    <t>********</t>
  </si>
  <si>
    <t>310*****622</t>
  </si>
  <si>
    <t>上海******</t>
  </si>
  <si>
    <t>138****1111</t>
  </si>
  <si>
    <t>本科</t>
  </si>
  <si>
    <t>*****</t>
  </si>
  <si>
    <t>市场营销</t>
  </si>
  <si>
    <t>群众</t>
  </si>
  <si>
    <t>姓名-138****2222</t>
  </si>
  <si>
    <t>合计</t>
  </si>
  <si>
    <t>制表：</t>
  </si>
  <si>
    <t>人员类别明细</t>
  </si>
  <si>
    <t>总数</t>
  </si>
  <si>
    <t>按 级 别</t>
  </si>
  <si>
    <t>按类别</t>
  </si>
  <si>
    <t>按性别</t>
  </si>
  <si>
    <t>按学历分类</t>
  </si>
  <si>
    <t>按工作年限分类</t>
  </si>
  <si>
    <t>组成</t>
  </si>
  <si>
    <t>户口性质</t>
  </si>
  <si>
    <t>备注</t>
  </si>
  <si>
    <t>总经理</t>
  </si>
  <si>
    <t>常务副总</t>
  </si>
  <si>
    <t>副总</t>
  </si>
  <si>
    <t>总助</t>
  </si>
  <si>
    <t>总监</t>
  </si>
  <si>
    <t>部门经理</t>
  </si>
  <si>
    <t>部门主管</t>
  </si>
  <si>
    <t>一般员工</t>
  </si>
  <si>
    <t>正式工</t>
  </si>
  <si>
    <t>试用期</t>
  </si>
  <si>
    <t>实习生</t>
  </si>
  <si>
    <t>男</t>
  </si>
  <si>
    <t>硕士以上（含）</t>
  </si>
  <si>
    <t>大专</t>
  </si>
  <si>
    <t>其他</t>
  </si>
  <si>
    <t>1年以下</t>
  </si>
  <si>
    <t>1年（含）至2年</t>
  </si>
  <si>
    <t>2年（含）至3年</t>
  </si>
  <si>
    <t>3年（含）以上</t>
  </si>
  <si>
    <t>本地</t>
  </si>
  <si>
    <t>外地</t>
  </si>
  <si>
    <t>城镇</t>
  </si>
  <si>
    <t>农村</t>
  </si>
  <si>
    <t>研发部</t>
  </si>
  <si>
    <t>管理部</t>
  </si>
  <si>
    <t>技术部</t>
  </si>
  <si>
    <t>生产部</t>
  </si>
  <si>
    <t>员工情况统计</t>
  </si>
  <si>
    <t>上月期末数</t>
  </si>
  <si>
    <t>入职人数</t>
  </si>
  <si>
    <t>离职人数</t>
  </si>
  <si>
    <t>本月调动数</t>
  </si>
  <si>
    <t>本月期末数</t>
  </si>
  <si>
    <t>转正情况</t>
  </si>
  <si>
    <t>参保情况</t>
  </si>
  <si>
    <t>本月培  训人数</t>
  </si>
  <si>
    <t>合同签订</t>
  </si>
  <si>
    <t>合同续签</t>
  </si>
  <si>
    <t>本月调入</t>
  </si>
  <si>
    <t>本月调出</t>
  </si>
  <si>
    <t>借调入</t>
  </si>
  <si>
    <t>借调出</t>
  </si>
  <si>
    <t>本月转正</t>
  </si>
  <si>
    <t>累计转正</t>
  </si>
  <si>
    <t>本月参保</t>
  </si>
  <si>
    <t>累计参保</t>
  </si>
  <si>
    <t>招聘信息明细</t>
  </si>
  <si>
    <t>岗位</t>
  </si>
  <si>
    <t>电话</t>
  </si>
  <si>
    <t>邮箱</t>
  </si>
  <si>
    <t>现住地址</t>
  </si>
  <si>
    <t>面试</t>
  </si>
  <si>
    <t>确认入职</t>
  </si>
  <si>
    <t>一面</t>
  </si>
  <si>
    <t>二面</t>
  </si>
  <si>
    <t>三面</t>
  </si>
  <si>
    <t>主管</t>
  </si>
  <si>
    <t>****</t>
  </si>
  <si>
    <t>姓名2</t>
  </si>
  <si>
    <t>员工到岗统计</t>
  </si>
  <si>
    <t>计划内</t>
  </si>
  <si>
    <t>计划外</t>
  </si>
  <si>
    <t>申请时间</t>
  </si>
  <si>
    <t>到岗人数</t>
  </si>
  <si>
    <t>到岗时间</t>
  </si>
  <si>
    <t>尚缺人数</t>
  </si>
  <si>
    <t>合计总人数:</t>
  </si>
  <si>
    <t>到岗率：</t>
  </si>
  <si>
    <t>员工入职明细</t>
  </si>
  <si>
    <t>入职时间</t>
  </si>
  <si>
    <t>户口所在地</t>
  </si>
  <si>
    <t>员工培训明细</t>
  </si>
  <si>
    <t>人数</t>
  </si>
  <si>
    <t>培训课题名称</t>
  </si>
  <si>
    <t>内训</t>
  </si>
  <si>
    <t>外训</t>
  </si>
  <si>
    <t>授课人</t>
  </si>
  <si>
    <t>培训地点</t>
  </si>
  <si>
    <t>培训时间</t>
  </si>
  <si>
    <t>组织培训部门</t>
  </si>
  <si>
    <t>费用</t>
  </si>
  <si>
    <t>员工转正明细</t>
  </si>
  <si>
    <t>转正时间</t>
  </si>
  <si>
    <t>员工任命明细</t>
  </si>
  <si>
    <t>出生年月</t>
  </si>
  <si>
    <t>原部门/职务</t>
  </si>
  <si>
    <t>任命时间</t>
  </si>
  <si>
    <t>现部门/职务</t>
  </si>
  <si>
    <t>员工签订合同</t>
  </si>
  <si>
    <t>签定日期</t>
  </si>
  <si>
    <t>合同到期日</t>
  </si>
  <si>
    <t>合同类型</t>
  </si>
  <si>
    <t>劳动合同</t>
  </si>
  <si>
    <t>劳务合同</t>
  </si>
  <si>
    <t>员工续签合同</t>
  </si>
  <si>
    <t>续签到期日</t>
  </si>
  <si>
    <t>员工离职明细</t>
  </si>
  <si>
    <t>离职时间</t>
  </si>
  <si>
    <t>离职类型</t>
  </si>
  <si>
    <t>离职原因</t>
  </si>
  <si>
    <t>人事费用明细</t>
  </si>
  <si>
    <t>月份</t>
  </si>
  <si>
    <t>薪资</t>
  </si>
  <si>
    <t>保险费用</t>
  </si>
  <si>
    <t>招聘费用</t>
  </si>
  <si>
    <t>培训费用</t>
  </si>
  <si>
    <t>裁员费用</t>
  </si>
  <si>
    <t>福利费用</t>
  </si>
  <si>
    <t>人事费用合计</t>
  </si>
  <si>
    <t>实际发放</t>
  </si>
  <si>
    <t>企业支付</t>
  </si>
  <si>
    <t>个人支付</t>
  </si>
  <si>
    <t>下午茶</t>
  </si>
  <si>
    <t>食堂</t>
  </si>
  <si>
    <t>住宿</t>
  </si>
  <si>
    <t>节日</t>
  </si>
  <si>
    <t>生日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</si>
</sst>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_ "/>
    <numFmt numFmtId="178" formatCode="0.00_);[Red]\(0.00\)"/>
    <numFmt numFmtId="179" formatCode="\¥#,##0;[Red]\¥#,##0"/>
  </numFmts>
  <fonts count="27">
    <font>
      <sz val="11"/>
      <color theme="1"/>
      <name val="宋体"/>
      <charset val="134"/>
      <scheme val="minor"/>
    </font>
    <font>
      <b/>
      <sz val="10"/>
      <color rgb="FF376654"/>
      <name val="微软雅黑"/>
      <charset val="134"/>
    </font>
    <font>
      <sz val="10"/>
      <color theme="1"/>
      <name val="微软雅黑"/>
      <charset val="134"/>
    </font>
    <font>
      <b/>
      <sz val="26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76654"/>
        <bgColor indexed="64"/>
      </patternFill>
    </fill>
    <fill>
      <patternFill patternType="solid">
        <fgColor rgb="FF6EB1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376654"/>
      </left>
      <right style="thin">
        <color theme="0"/>
      </right>
      <top style="thin">
        <color rgb="FF37665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76654"/>
      </top>
      <bottom style="thin">
        <color theme="0"/>
      </bottom>
      <diagonal/>
    </border>
    <border>
      <left style="thin">
        <color rgb="FF376654"/>
      </left>
      <right style="thin">
        <color theme="0"/>
      </right>
      <top style="thin">
        <color theme="0"/>
      </top>
      <bottom style="thin">
        <color rgb="FF3766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76654"/>
      </bottom>
      <diagonal/>
    </border>
    <border>
      <left style="thin">
        <color rgb="FF376654"/>
      </left>
      <right style="thin">
        <color rgb="FF376654"/>
      </right>
      <top style="thin">
        <color rgb="FF376654"/>
      </top>
      <bottom style="thin">
        <color rgb="FF376654"/>
      </bottom>
      <diagonal/>
    </border>
    <border>
      <left style="thin">
        <color theme="0"/>
      </left>
      <right style="thin">
        <color rgb="FF376654"/>
      </right>
      <top style="thin">
        <color rgb="FF376654"/>
      </top>
      <bottom style="thin">
        <color theme="0"/>
      </bottom>
      <diagonal/>
    </border>
    <border>
      <left style="thin">
        <color theme="0"/>
      </left>
      <right style="thin">
        <color rgb="FF376654"/>
      </right>
      <top style="thin">
        <color theme="0"/>
      </top>
      <bottom style="thin">
        <color rgb="FF376654"/>
      </bottom>
      <diagonal/>
    </border>
    <border>
      <left style="thin">
        <color rgb="FF376654"/>
      </left>
      <right style="thin">
        <color theme="0"/>
      </right>
      <top style="thin">
        <color rgb="FF376654"/>
      </top>
      <bottom style="thin">
        <color rgb="FF376654"/>
      </bottom>
      <diagonal/>
    </border>
    <border>
      <left style="thin">
        <color theme="0"/>
      </left>
      <right style="thin">
        <color theme="0"/>
      </right>
      <top style="thin">
        <color rgb="FF376654"/>
      </top>
      <bottom style="thin">
        <color rgb="FF376654"/>
      </bottom>
      <diagonal/>
    </border>
    <border>
      <left style="thin">
        <color theme="0"/>
      </left>
      <right style="thin">
        <color rgb="FF376654"/>
      </right>
      <top style="thin">
        <color rgb="FF376654"/>
      </top>
      <bottom style="thin">
        <color rgb="FF376654"/>
      </bottom>
      <diagonal/>
    </border>
    <border>
      <left style="thin">
        <color rgb="FF376654"/>
      </left>
      <right style="thin">
        <color rgb="FF376654"/>
      </right>
      <top/>
      <bottom style="thin">
        <color rgb="FF37665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4" fillId="2" borderId="1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4" fillId="2" borderId="3" xfId="49" applyFont="1" applyFill="1" applyBorder="1" applyAlignment="1">
      <alignment horizontal="center" vertical="center" wrapText="1"/>
    </xf>
    <xf numFmtId="0" fontId="4" fillId="2" borderId="4" xfId="49" applyFont="1" applyFill="1" applyBorder="1" applyAlignment="1">
      <alignment horizontal="center" vertical="center" wrapText="1"/>
    </xf>
    <xf numFmtId="0" fontId="4" fillId="3" borderId="4" xfId="49" applyFont="1" applyFill="1" applyBorder="1" applyAlignment="1">
      <alignment horizontal="center" vertical="center" wrapText="1"/>
    </xf>
    <xf numFmtId="176" fontId="5" fillId="0" borderId="5" xfId="49" applyNumberFormat="1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/>
    </xf>
    <xf numFmtId="177" fontId="5" fillId="0" borderId="5" xfId="49" applyNumberFormat="1" applyFont="1" applyFill="1" applyBorder="1" applyAlignment="1">
      <alignment horizontal="center" vertical="center"/>
    </xf>
    <xf numFmtId="178" fontId="5" fillId="0" borderId="5" xfId="49" applyNumberFormat="1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/>
    </xf>
    <xf numFmtId="177" fontId="1" fillId="0" borderId="5" xfId="49" applyNumberFormat="1" applyFont="1" applyFill="1" applyBorder="1" applyAlignment="1">
      <alignment horizontal="center" vertical="center"/>
    </xf>
    <xf numFmtId="0" fontId="4" fillId="2" borderId="6" xfId="49" applyFont="1" applyFill="1" applyBorder="1" applyAlignment="1">
      <alignment horizontal="center" vertical="center"/>
    </xf>
    <xf numFmtId="0" fontId="4" fillId="2" borderId="7" xfId="49" applyFont="1" applyFill="1" applyBorder="1" applyAlignment="1">
      <alignment horizontal="center" vertical="center"/>
    </xf>
    <xf numFmtId="0" fontId="4" fillId="2" borderId="8" xfId="49" applyFont="1" applyFill="1" applyBorder="1" applyAlignment="1">
      <alignment horizontal="center" vertical="center"/>
    </xf>
    <xf numFmtId="0" fontId="4" fillId="2" borderId="9" xfId="49" applyFont="1" applyFill="1" applyBorder="1" applyAlignment="1">
      <alignment horizontal="center" vertical="center"/>
    </xf>
    <xf numFmtId="0" fontId="4" fillId="3" borderId="9" xfId="49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/>
    </xf>
    <xf numFmtId="0" fontId="1" fillId="0" borderId="5" xfId="49" applyFont="1" applyFill="1" applyBorder="1" applyAlignment="1">
      <alignment horizontal="center" vertical="center" wrapText="1"/>
    </xf>
    <xf numFmtId="0" fontId="1" fillId="0" borderId="5" xfId="49" applyFont="1" applyFill="1" applyBorder="1" applyAlignment="1">
      <alignment horizontal="center"/>
    </xf>
    <xf numFmtId="0" fontId="4" fillId="2" borderId="10" xfId="49" applyFont="1" applyFill="1" applyBorder="1" applyAlignment="1">
      <alignment horizontal="center" vertical="center"/>
    </xf>
    <xf numFmtId="0" fontId="5" fillId="0" borderId="5" xfId="49" applyFont="1" applyFill="1" applyBorder="1">
      <alignment vertical="center"/>
    </xf>
    <xf numFmtId="0" fontId="1" fillId="0" borderId="5" xfId="49" applyFont="1" applyFill="1" applyBorder="1">
      <alignment vertical="center"/>
    </xf>
    <xf numFmtId="0" fontId="4" fillId="2" borderId="1" xfId="49" applyFont="1" applyFill="1" applyBorder="1" applyAlignment="1">
      <alignment horizontal="center" vertical="center"/>
    </xf>
    <xf numFmtId="0" fontId="4" fillId="2" borderId="2" xfId="49" applyFont="1" applyFill="1" applyBorder="1" applyAlignment="1">
      <alignment horizontal="center" vertical="center"/>
    </xf>
    <xf numFmtId="0" fontId="4" fillId="3" borderId="2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/>
    </xf>
    <xf numFmtId="0" fontId="4" fillId="2" borderId="4" xfId="49" applyFont="1" applyFill="1" applyBorder="1" applyAlignment="1">
      <alignment vertical="center"/>
    </xf>
    <xf numFmtId="0" fontId="4" fillId="3" borderId="4" xfId="49" applyFont="1" applyFill="1" applyBorder="1" applyAlignment="1">
      <alignment vertical="center"/>
    </xf>
    <xf numFmtId="0" fontId="4" fillId="3" borderId="4" xfId="49" applyFont="1" applyFill="1" applyBorder="1" applyAlignment="1">
      <alignment horizontal="center" vertical="center"/>
    </xf>
    <xf numFmtId="0" fontId="4" fillId="2" borderId="7" xfId="49" applyFont="1" applyFill="1" applyBorder="1" applyAlignment="1">
      <alignment vertical="center"/>
    </xf>
    <xf numFmtId="0" fontId="4" fillId="2" borderId="4" xfId="49" applyFont="1" applyFill="1" applyBorder="1" applyAlignment="1">
      <alignment horizontal="center" vertical="center"/>
    </xf>
    <xf numFmtId="0" fontId="4" fillId="3" borderId="2" xfId="49" applyFont="1" applyFill="1" applyBorder="1" applyAlignment="1">
      <alignment vertical="center"/>
    </xf>
    <xf numFmtId="179" fontId="5" fillId="0" borderId="5" xfId="49" applyNumberFormat="1" applyFont="1" applyFill="1" applyBorder="1" applyAlignment="1">
      <alignment horizontal="center" vertical="center"/>
    </xf>
    <xf numFmtId="14" fontId="5" fillId="0" borderId="5" xfId="49" applyNumberFormat="1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vertical="center"/>
    </xf>
    <xf numFmtId="0" fontId="6" fillId="0" borderId="5" xfId="49" applyFont="1" applyFill="1" applyBorder="1" applyAlignment="1">
      <alignment horizontal="center" vertical="center"/>
    </xf>
    <xf numFmtId="0" fontId="6" fillId="0" borderId="5" xfId="49" applyFont="1" applyFill="1" applyBorder="1">
      <alignment vertical="center"/>
    </xf>
    <xf numFmtId="0" fontId="5" fillId="0" borderId="5" xfId="49" applyFont="1" applyFill="1" applyBorder="1" applyAlignment="1">
      <alignment vertical="center"/>
    </xf>
    <xf numFmtId="0" fontId="5" fillId="0" borderId="0" xfId="49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0" fontId="5" fillId="0" borderId="5" xfId="49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0" borderId="5" xfId="49" applyNumberFormat="1" applyFont="1" applyFill="1" applyBorder="1" applyAlignment="1">
      <alignment horizontal="center" vertical="center"/>
    </xf>
    <xf numFmtId="0" fontId="1" fillId="0" borderId="5" xfId="49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4" fillId="2" borderId="6" xfId="49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4" fillId="2" borderId="9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376654"/>
      <color rgb="006EB197"/>
      <color rgb="00A92230"/>
      <color rgb="00F0B4BB"/>
      <color rgb="00FEBA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'10-&#21592;&#24037;&#31614;&#35746;&#21512;&#21516;'!A1"/><Relationship Id="rId8" Type="http://schemas.openxmlformats.org/officeDocument/2006/relationships/hyperlink" Target="#'2-&#20154;&#21592;&#31867;&#21035;&#26126;&#32454;'!A1"/><Relationship Id="rId7" Type="http://schemas.openxmlformats.org/officeDocument/2006/relationships/hyperlink" Target="#'3-&#21592;&#24037;&#24773;&#20917;&#32479;&#35745;'!A1"/><Relationship Id="rId6" Type="http://schemas.openxmlformats.org/officeDocument/2006/relationships/hyperlink" Target="#'5-&#21592;&#24037;&#21040;&#23703;&#32479;&#35745;'!A1"/><Relationship Id="rId5" Type="http://schemas.openxmlformats.org/officeDocument/2006/relationships/hyperlink" Target="#'4-&#25307;&#32856;&#20449;&#24687;&#26126;&#32454;'!A1"/><Relationship Id="rId4" Type="http://schemas.openxmlformats.org/officeDocument/2006/relationships/hyperlink" Target="#'8-&#21592;&#24037;&#36716;&#27491;&#26126;&#32454;'!A1"/><Relationship Id="rId3" Type="http://schemas.openxmlformats.org/officeDocument/2006/relationships/hyperlink" Target="#'9-&#21592;&#24037;&#20219;&#21629;&#26126;&#32454;'!A1"/><Relationship Id="rId2" Type="http://schemas.openxmlformats.org/officeDocument/2006/relationships/hyperlink" Target="#'7-&#21592;&#24037;&#22521;&#35757;&#26126;&#32454;'!A1"/><Relationship Id="rId12" Type="http://schemas.openxmlformats.org/officeDocument/2006/relationships/hyperlink" Target="#'1-&#21592;&#24037;&#22522;&#26412;&#20449;&#24687;'!A1"/><Relationship Id="rId11" Type="http://schemas.openxmlformats.org/officeDocument/2006/relationships/hyperlink" Target="#'12-&#21592;&#24037;&#31163;&#32844;&#26126;&#32454;'!A1"/><Relationship Id="rId10" Type="http://schemas.openxmlformats.org/officeDocument/2006/relationships/hyperlink" Target="#'13-&#20154;&#20107;&#36153;&#29992;&#26126;&#32454;'!A1"/><Relationship Id="rId1" Type="http://schemas.openxmlformats.org/officeDocument/2006/relationships/hyperlink" Target="#'6-&#21592;&#24037;&#20837;&#32844;&#26126;&#32454;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247015</xdr:colOff>
      <xdr:row>37</xdr:row>
      <xdr:rowOff>29210</xdr:rowOff>
    </xdr:to>
    <xdr:sp>
      <xdr:nvSpPr>
        <xdr:cNvPr id="3" name="显示器"/>
        <xdr:cNvSpPr/>
      </xdr:nvSpPr>
      <xdr:spPr>
        <a:xfrm>
          <a:off x="0" y="0"/>
          <a:ext cx="8419465" cy="6607810"/>
        </a:xfrm>
        <a:custGeom>
          <a:avLst/>
          <a:gdLst>
            <a:gd name="T0" fmla="*/ 113939 w 6855"/>
            <a:gd name="T1" fmla="*/ 556 h 4342"/>
            <a:gd name="T2" fmla="*/ 83370 w 6855"/>
            <a:gd name="T3" fmla="*/ 7500 h 4342"/>
            <a:gd name="T4" fmla="*/ 56136 w 6855"/>
            <a:gd name="T5" fmla="*/ 21666 h 4342"/>
            <a:gd name="T6" fmla="*/ 33070 w 6855"/>
            <a:gd name="T7" fmla="*/ 41387 h 4342"/>
            <a:gd name="T8" fmla="*/ 15284 w 6855"/>
            <a:gd name="T9" fmla="*/ 66386 h 4342"/>
            <a:gd name="T10" fmla="*/ 3891 w 6855"/>
            <a:gd name="T11" fmla="*/ 95273 h 4342"/>
            <a:gd name="T12" fmla="*/ 0 w 6855"/>
            <a:gd name="T13" fmla="*/ 126939 h 4342"/>
            <a:gd name="T14" fmla="*/ 1389 w 6855"/>
            <a:gd name="T15" fmla="*/ 971345 h 4342"/>
            <a:gd name="T16" fmla="*/ 10004 w 6855"/>
            <a:gd name="T17" fmla="*/ 1001343 h 4342"/>
            <a:gd name="T18" fmla="*/ 25289 w 6855"/>
            <a:gd name="T19" fmla="*/ 1027731 h 4342"/>
            <a:gd name="T20" fmla="*/ 46409 w 6855"/>
            <a:gd name="T21" fmla="*/ 1049674 h 4342"/>
            <a:gd name="T22" fmla="*/ 71976 w 6855"/>
            <a:gd name="T23" fmla="*/ 1066340 h 4342"/>
            <a:gd name="T24" fmla="*/ 101433 w 6855"/>
            <a:gd name="T25" fmla="*/ 1076340 h 4342"/>
            <a:gd name="T26" fmla="*/ 825361 w 6855"/>
            <a:gd name="T27" fmla="*/ 1078840 h 4342"/>
            <a:gd name="T28" fmla="*/ 687245 w 6855"/>
            <a:gd name="T29" fmla="*/ 1143281 h 4342"/>
            <a:gd name="T30" fmla="*/ 665013 w 6855"/>
            <a:gd name="T31" fmla="*/ 1150225 h 4342"/>
            <a:gd name="T32" fmla="*/ 650284 w 6855"/>
            <a:gd name="T33" fmla="*/ 1162447 h 4342"/>
            <a:gd name="T34" fmla="*/ 638057 w 6855"/>
            <a:gd name="T35" fmla="*/ 1185779 h 4342"/>
            <a:gd name="T36" fmla="*/ 635000 w 6855"/>
            <a:gd name="T37" fmla="*/ 1206056 h 4342"/>
            <a:gd name="T38" fmla="*/ 1268333 w 6855"/>
            <a:gd name="T39" fmla="*/ 1189668 h 4342"/>
            <a:gd name="T40" fmla="*/ 1259996 w 6855"/>
            <a:gd name="T41" fmla="*/ 1169113 h 4342"/>
            <a:gd name="T42" fmla="*/ 1246934 w 6855"/>
            <a:gd name="T43" fmla="*/ 1155781 h 4342"/>
            <a:gd name="T44" fmla="*/ 1220812 w 6855"/>
            <a:gd name="T45" fmla="*/ 1144392 h 4342"/>
            <a:gd name="T46" fmla="*/ 1079361 w 6855"/>
            <a:gd name="T47" fmla="*/ 1142448 h 4342"/>
            <a:gd name="T48" fmla="*/ 1790783 w 6855"/>
            <a:gd name="T49" fmla="*/ 1078284 h 4342"/>
            <a:gd name="T50" fmla="*/ 1821352 w 6855"/>
            <a:gd name="T51" fmla="*/ 1071062 h 4342"/>
            <a:gd name="T52" fmla="*/ 1848864 w 6855"/>
            <a:gd name="T53" fmla="*/ 1057174 h 4342"/>
            <a:gd name="T54" fmla="*/ 1871652 w 6855"/>
            <a:gd name="T55" fmla="*/ 1037175 h 4342"/>
            <a:gd name="T56" fmla="*/ 1889438 w 6855"/>
            <a:gd name="T57" fmla="*/ 1012176 h 4342"/>
            <a:gd name="T58" fmla="*/ 1900832 w 6855"/>
            <a:gd name="T59" fmla="*/ 983566 h 4342"/>
            <a:gd name="T60" fmla="*/ 1905000 w 6855"/>
            <a:gd name="T61" fmla="*/ 952179 h 4342"/>
            <a:gd name="T62" fmla="*/ 1903333 w 6855"/>
            <a:gd name="T63" fmla="*/ 107773 h 4342"/>
            <a:gd name="T64" fmla="*/ 1894718 w 6855"/>
            <a:gd name="T65" fmla="*/ 77774 h 4342"/>
            <a:gd name="T66" fmla="*/ 1879711 w 6855"/>
            <a:gd name="T67" fmla="*/ 51109 h 4342"/>
            <a:gd name="T68" fmla="*/ 1858313 w 6855"/>
            <a:gd name="T69" fmla="*/ 29165 h 4342"/>
            <a:gd name="T70" fmla="*/ 1832746 w 6855"/>
            <a:gd name="T71" fmla="*/ 12499 h 4342"/>
            <a:gd name="T72" fmla="*/ 1803289 w 6855"/>
            <a:gd name="T73" fmla="*/ 2500 h 4342"/>
            <a:gd name="T74" fmla="*/ 1841083 w 6855"/>
            <a:gd name="T75" fmla="*/ 952179 h 4342"/>
            <a:gd name="T76" fmla="*/ 1836359 w 6855"/>
            <a:gd name="T77" fmla="*/ 976900 h 4342"/>
            <a:gd name="T78" fmla="*/ 1818018 w 6855"/>
            <a:gd name="T79" fmla="*/ 1001065 h 4342"/>
            <a:gd name="T80" fmla="*/ 1790505 w 6855"/>
            <a:gd name="T81" fmla="*/ 1014120 h 4342"/>
            <a:gd name="T82" fmla="*/ 120330 w 6855"/>
            <a:gd name="T83" fmla="*/ 1015231 h 4342"/>
            <a:gd name="T84" fmla="*/ 91707 w 6855"/>
            <a:gd name="T85" fmla="*/ 1004676 h 4342"/>
            <a:gd name="T86" fmla="*/ 71142 w 6855"/>
            <a:gd name="T87" fmla="*/ 982177 h 4342"/>
            <a:gd name="T88" fmla="*/ 63361 w 6855"/>
            <a:gd name="T89" fmla="*/ 952179 h 4342"/>
            <a:gd name="T90" fmla="*/ 66418 w 6855"/>
            <a:gd name="T91" fmla="*/ 108051 h 4342"/>
            <a:gd name="T92" fmla="*/ 81980 w 6855"/>
            <a:gd name="T93" fmla="*/ 82218 h 4342"/>
            <a:gd name="T94" fmla="*/ 107825 w 6855"/>
            <a:gd name="T95" fmla="*/ 66108 h 4342"/>
            <a:gd name="T96" fmla="*/ 1777722 w 6855"/>
            <a:gd name="T97" fmla="*/ 63330 h 4342"/>
            <a:gd name="T98" fmla="*/ 1808291 w 6855"/>
            <a:gd name="T99" fmla="*/ 70830 h 4342"/>
            <a:gd name="T100" fmla="*/ 1830523 w 6855"/>
            <a:gd name="T101" fmla="*/ 91385 h 4342"/>
            <a:gd name="T102" fmla="*/ 1840805 w 6855"/>
            <a:gd name="T103" fmla="*/ 120272 h 4342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</a:gdLst>
          <a:ahLst/>
          <a:cxnLst>
            <a:cxn ang="T104">
              <a:pos x="T0" y="T1"/>
            </a:cxn>
            <a:cxn ang="T105">
              <a:pos x="T2" y="T3"/>
            </a:cxn>
            <a:cxn ang="T106">
              <a:pos x="T4" y="T5"/>
            </a:cxn>
            <a:cxn ang="T107">
              <a:pos x="T6" y="T7"/>
            </a:cxn>
            <a:cxn ang="T108">
              <a:pos x="T8" y="T9"/>
            </a:cxn>
            <a:cxn ang="T109">
              <a:pos x="T10" y="T11"/>
            </a:cxn>
            <a:cxn ang="T110">
              <a:pos x="T12" y="T13"/>
            </a:cxn>
            <a:cxn ang="T111">
              <a:pos x="T14" y="T15"/>
            </a:cxn>
            <a:cxn ang="T112">
              <a:pos x="T16" y="T17"/>
            </a:cxn>
            <a:cxn ang="T113">
              <a:pos x="T18" y="T19"/>
            </a:cxn>
            <a:cxn ang="T114">
              <a:pos x="T20" y="T21"/>
            </a:cxn>
            <a:cxn ang="T115">
              <a:pos x="T22" y="T23"/>
            </a:cxn>
            <a:cxn ang="T116">
              <a:pos x="T24" y="T25"/>
            </a:cxn>
            <a:cxn ang="T117">
              <a:pos x="T26" y="T27"/>
            </a:cxn>
            <a:cxn ang="T118">
              <a:pos x="T28" y="T29"/>
            </a:cxn>
            <a:cxn ang="T119">
              <a:pos x="T30" y="T31"/>
            </a:cxn>
            <a:cxn ang="T120">
              <a:pos x="T32" y="T33"/>
            </a:cxn>
            <a:cxn ang="T121">
              <a:pos x="T34" y="T35"/>
            </a:cxn>
            <a:cxn ang="T122">
              <a:pos x="T36" y="T37"/>
            </a:cxn>
            <a:cxn ang="T123">
              <a:pos x="T38" y="T39"/>
            </a:cxn>
            <a:cxn ang="T124">
              <a:pos x="T40" y="T41"/>
            </a:cxn>
            <a:cxn ang="T125">
              <a:pos x="T42" y="T43"/>
            </a:cxn>
            <a:cxn ang="T126">
              <a:pos x="T44" y="T45"/>
            </a:cxn>
            <a:cxn ang="T127">
              <a:pos x="T46" y="T47"/>
            </a:cxn>
            <a:cxn ang="T128">
              <a:pos x="T48" y="T49"/>
            </a:cxn>
            <a:cxn ang="T129">
              <a:pos x="T50" y="T51"/>
            </a:cxn>
            <a:cxn ang="T130">
              <a:pos x="T52" y="T53"/>
            </a:cxn>
            <a:cxn ang="T131">
              <a:pos x="T54" y="T55"/>
            </a:cxn>
            <a:cxn ang="T132">
              <a:pos x="T56" y="T57"/>
            </a:cxn>
            <a:cxn ang="T133">
              <a:pos x="T58" y="T59"/>
            </a:cxn>
            <a:cxn ang="T134">
              <a:pos x="T60" y="T61"/>
            </a:cxn>
            <a:cxn ang="T135">
              <a:pos x="T62" y="T63"/>
            </a:cxn>
            <a:cxn ang="T136">
              <a:pos x="T64" y="T65"/>
            </a:cxn>
            <a:cxn ang="T137">
              <a:pos x="T66" y="T67"/>
            </a:cxn>
            <a:cxn ang="T138">
              <a:pos x="T68" y="T69"/>
            </a:cxn>
            <a:cxn ang="T139">
              <a:pos x="T70" y="T71"/>
            </a:cxn>
            <a:cxn ang="T140">
              <a:pos x="T72" y="T73"/>
            </a:cxn>
            <a:cxn ang="T141">
              <a:pos x="T74" y="T75"/>
            </a:cxn>
            <a:cxn ang="T142">
              <a:pos x="T76" y="T77"/>
            </a:cxn>
            <a:cxn ang="T143">
              <a:pos x="T78" y="T79"/>
            </a:cxn>
            <a:cxn ang="T144">
              <a:pos x="T80" y="T81"/>
            </a:cxn>
            <a:cxn ang="T145">
              <a:pos x="T82" y="T83"/>
            </a:cxn>
            <a:cxn ang="T146">
              <a:pos x="T84" y="T85"/>
            </a:cxn>
            <a:cxn ang="T147">
              <a:pos x="T86" y="T87"/>
            </a:cxn>
            <a:cxn ang="T148">
              <a:pos x="T88" y="T89"/>
            </a:cxn>
            <a:cxn ang="T149">
              <a:pos x="T90" y="T91"/>
            </a:cxn>
            <a:cxn ang="T150">
              <a:pos x="T92" y="T93"/>
            </a:cxn>
            <a:cxn ang="T151">
              <a:pos x="T94" y="T95"/>
            </a:cxn>
            <a:cxn ang="T152">
              <a:pos x="T96" y="T97"/>
            </a:cxn>
            <a:cxn ang="T153">
              <a:pos x="T98" y="T99"/>
            </a:cxn>
            <a:cxn ang="T154">
              <a:pos x="T100" y="T101"/>
            </a:cxn>
            <a:cxn ang="T155">
              <a:pos x="T102" y="T103"/>
            </a:cxn>
          </a:cxnLst>
          <a:rect l="0" t="0" r="r" b="b"/>
          <a:pathLst>
            <a:path w="6855" h="4342">
              <a:moveTo>
                <a:pt x="6397" y="0"/>
              </a:moveTo>
              <a:lnTo>
                <a:pt x="456" y="0"/>
              </a:lnTo>
              <a:lnTo>
                <a:pt x="433" y="1"/>
              </a:lnTo>
              <a:lnTo>
                <a:pt x="410" y="2"/>
              </a:lnTo>
              <a:lnTo>
                <a:pt x="387" y="5"/>
              </a:lnTo>
              <a:lnTo>
                <a:pt x="365" y="9"/>
              </a:lnTo>
              <a:lnTo>
                <a:pt x="343" y="15"/>
              </a:lnTo>
              <a:lnTo>
                <a:pt x="322" y="20"/>
              </a:lnTo>
              <a:lnTo>
                <a:pt x="300" y="27"/>
              </a:lnTo>
              <a:lnTo>
                <a:pt x="279" y="35"/>
              </a:lnTo>
              <a:lnTo>
                <a:pt x="259" y="45"/>
              </a:lnTo>
              <a:lnTo>
                <a:pt x="240" y="55"/>
              </a:lnTo>
              <a:lnTo>
                <a:pt x="220" y="67"/>
              </a:lnTo>
              <a:lnTo>
                <a:pt x="202" y="78"/>
              </a:lnTo>
              <a:lnTo>
                <a:pt x="184" y="91"/>
              </a:lnTo>
              <a:lnTo>
                <a:pt x="167" y="105"/>
              </a:lnTo>
              <a:lnTo>
                <a:pt x="150" y="118"/>
              </a:lnTo>
              <a:lnTo>
                <a:pt x="134" y="134"/>
              </a:lnTo>
              <a:lnTo>
                <a:pt x="119" y="149"/>
              </a:lnTo>
              <a:lnTo>
                <a:pt x="105" y="167"/>
              </a:lnTo>
              <a:lnTo>
                <a:pt x="91" y="184"/>
              </a:lnTo>
              <a:lnTo>
                <a:pt x="78" y="201"/>
              </a:lnTo>
              <a:lnTo>
                <a:pt x="66" y="221"/>
              </a:lnTo>
              <a:lnTo>
                <a:pt x="55" y="239"/>
              </a:lnTo>
              <a:lnTo>
                <a:pt x="45" y="259"/>
              </a:lnTo>
              <a:lnTo>
                <a:pt x="36" y="280"/>
              </a:lnTo>
              <a:lnTo>
                <a:pt x="28" y="300"/>
              </a:lnTo>
              <a:lnTo>
                <a:pt x="21" y="321"/>
              </a:lnTo>
              <a:lnTo>
                <a:pt x="14" y="343"/>
              </a:lnTo>
              <a:lnTo>
                <a:pt x="9" y="365"/>
              </a:lnTo>
              <a:lnTo>
                <a:pt x="5" y="388"/>
              </a:lnTo>
              <a:lnTo>
                <a:pt x="2" y="410"/>
              </a:lnTo>
              <a:lnTo>
                <a:pt x="0" y="433"/>
              </a:lnTo>
              <a:lnTo>
                <a:pt x="0" y="457"/>
              </a:lnTo>
              <a:lnTo>
                <a:pt x="0" y="3428"/>
              </a:lnTo>
              <a:lnTo>
                <a:pt x="0" y="3451"/>
              </a:lnTo>
              <a:lnTo>
                <a:pt x="2" y="3474"/>
              </a:lnTo>
              <a:lnTo>
                <a:pt x="5" y="3497"/>
              </a:lnTo>
              <a:lnTo>
                <a:pt x="9" y="3519"/>
              </a:lnTo>
              <a:lnTo>
                <a:pt x="14" y="3541"/>
              </a:lnTo>
              <a:lnTo>
                <a:pt x="21" y="3563"/>
              </a:lnTo>
              <a:lnTo>
                <a:pt x="28" y="3584"/>
              </a:lnTo>
              <a:lnTo>
                <a:pt x="36" y="3605"/>
              </a:lnTo>
              <a:lnTo>
                <a:pt x="45" y="3625"/>
              </a:lnTo>
              <a:lnTo>
                <a:pt x="55" y="3644"/>
              </a:lnTo>
              <a:lnTo>
                <a:pt x="66" y="3664"/>
              </a:lnTo>
              <a:lnTo>
                <a:pt x="78" y="3682"/>
              </a:lnTo>
              <a:lnTo>
                <a:pt x="91" y="3700"/>
              </a:lnTo>
              <a:lnTo>
                <a:pt x="105" y="3717"/>
              </a:lnTo>
              <a:lnTo>
                <a:pt x="119" y="3734"/>
              </a:lnTo>
              <a:lnTo>
                <a:pt x="134" y="3750"/>
              </a:lnTo>
              <a:lnTo>
                <a:pt x="150" y="3765"/>
              </a:lnTo>
              <a:lnTo>
                <a:pt x="167" y="3779"/>
              </a:lnTo>
              <a:lnTo>
                <a:pt x="184" y="3793"/>
              </a:lnTo>
              <a:lnTo>
                <a:pt x="202" y="3806"/>
              </a:lnTo>
              <a:lnTo>
                <a:pt x="220" y="3818"/>
              </a:lnTo>
              <a:lnTo>
                <a:pt x="240" y="3829"/>
              </a:lnTo>
              <a:lnTo>
                <a:pt x="259" y="3839"/>
              </a:lnTo>
              <a:lnTo>
                <a:pt x="279" y="3848"/>
              </a:lnTo>
              <a:lnTo>
                <a:pt x="300" y="3856"/>
              </a:lnTo>
              <a:lnTo>
                <a:pt x="322" y="3863"/>
              </a:lnTo>
              <a:lnTo>
                <a:pt x="343" y="3870"/>
              </a:lnTo>
              <a:lnTo>
                <a:pt x="365" y="3875"/>
              </a:lnTo>
              <a:lnTo>
                <a:pt x="387" y="3879"/>
              </a:lnTo>
              <a:lnTo>
                <a:pt x="410" y="3882"/>
              </a:lnTo>
              <a:lnTo>
                <a:pt x="433" y="3884"/>
              </a:lnTo>
              <a:lnTo>
                <a:pt x="456" y="3884"/>
              </a:lnTo>
              <a:lnTo>
                <a:pt x="2970" y="3884"/>
              </a:lnTo>
              <a:lnTo>
                <a:pt x="2970" y="4113"/>
              </a:lnTo>
              <a:lnTo>
                <a:pt x="2513" y="4113"/>
              </a:lnTo>
              <a:lnTo>
                <a:pt x="2492" y="4113"/>
              </a:lnTo>
              <a:lnTo>
                <a:pt x="2473" y="4116"/>
              </a:lnTo>
              <a:lnTo>
                <a:pt x="2454" y="4118"/>
              </a:lnTo>
              <a:lnTo>
                <a:pt x="2438" y="4123"/>
              </a:lnTo>
              <a:lnTo>
                <a:pt x="2422" y="4128"/>
              </a:lnTo>
              <a:lnTo>
                <a:pt x="2407" y="4134"/>
              </a:lnTo>
              <a:lnTo>
                <a:pt x="2393" y="4141"/>
              </a:lnTo>
              <a:lnTo>
                <a:pt x="2381" y="4148"/>
              </a:lnTo>
              <a:lnTo>
                <a:pt x="2369" y="4157"/>
              </a:lnTo>
              <a:lnTo>
                <a:pt x="2359" y="4166"/>
              </a:lnTo>
              <a:lnTo>
                <a:pt x="2349" y="4176"/>
              </a:lnTo>
              <a:lnTo>
                <a:pt x="2340" y="4185"/>
              </a:lnTo>
              <a:lnTo>
                <a:pt x="2332" y="4195"/>
              </a:lnTo>
              <a:lnTo>
                <a:pt x="2325" y="4206"/>
              </a:lnTo>
              <a:lnTo>
                <a:pt x="2314" y="4227"/>
              </a:lnTo>
              <a:lnTo>
                <a:pt x="2303" y="4248"/>
              </a:lnTo>
              <a:lnTo>
                <a:pt x="2296" y="4269"/>
              </a:lnTo>
              <a:lnTo>
                <a:pt x="2292" y="4289"/>
              </a:lnTo>
              <a:lnTo>
                <a:pt x="2288" y="4306"/>
              </a:lnTo>
              <a:lnTo>
                <a:pt x="2286" y="4321"/>
              </a:lnTo>
              <a:lnTo>
                <a:pt x="2285" y="4331"/>
              </a:lnTo>
              <a:lnTo>
                <a:pt x="2285" y="4342"/>
              </a:lnTo>
              <a:lnTo>
                <a:pt x="4570" y="4342"/>
              </a:lnTo>
              <a:lnTo>
                <a:pt x="4569" y="4321"/>
              </a:lnTo>
              <a:lnTo>
                <a:pt x="4567" y="4301"/>
              </a:lnTo>
              <a:lnTo>
                <a:pt x="4564" y="4283"/>
              </a:lnTo>
              <a:lnTo>
                <a:pt x="4559" y="4266"/>
              </a:lnTo>
              <a:lnTo>
                <a:pt x="4555" y="4251"/>
              </a:lnTo>
              <a:lnTo>
                <a:pt x="4548" y="4236"/>
              </a:lnTo>
              <a:lnTo>
                <a:pt x="4541" y="4222"/>
              </a:lnTo>
              <a:lnTo>
                <a:pt x="4534" y="4209"/>
              </a:lnTo>
              <a:lnTo>
                <a:pt x="4526" y="4198"/>
              </a:lnTo>
              <a:lnTo>
                <a:pt x="4517" y="4187"/>
              </a:lnTo>
              <a:lnTo>
                <a:pt x="4507" y="4178"/>
              </a:lnTo>
              <a:lnTo>
                <a:pt x="4497" y="4169"/>
              </a:lnTo>
              <a:lnTo>
                <a:pt x="4487" y="4161"/>
              </a:lnTo>
              <a:lnTo>
                <a:pt x="4476" y="4154"/>
              </a:lnTo>
              <a:lnTo>
                <a:pt x="4456" y="4141"/>
              </a:lnTo>
              <a:lnTo>
                <a:pt x="4434" y="4132"/>
              </a:lnTo>
              <a:lnTo>
                <a:pt x="4413" y="4125"/>
              </a:lnTo>
              <a:lnTo>
                <a:pt x="4393" y="4120"/>
              </a:lnTo>
              <a:lnTo>
                <a:pt x="4376" y="4117"/>
              </a:lnTo>
              <a:lnTo>
                <a:pt x="4362" y="4115"/>
              </a:lnTo>
              <a:lnTo>
                <a:pt x="4351" y="4113"/>
              </a:lnTo>
              <a:lnTo>
                <a:pt x="4340" y="4113"/>
              </a:lnTo>
              <a:lnTo>
                <a:pt x="3884" y="4113"/>
              </a:lnTo>
              <a:lnTo>
                <a:pt x="3884" y="3884"/>
              </a:lnTo>
              <a:lnTo>
                <a:pt x="6397" y="3884"/>
              </a:lnTo>
              <a:lnTo>
                <a:pt x="6421" y="3884"/>
              </a:lnTo>
              <a:lnTo>
                <a:pt x="6444" y="3882"/>
              </a:lnTo>
              <a:lnTo>
                <a:pt x="6466" y="3879"/>
              </a:lnTo>
              <a:lnTo>
                <a:pt x="6489" y="3875"/>
              </a:lnTo>
              <a:lnTo>
                <a:pt x="6511" y="3870"/>
              </a:lnTo>
              <a:lnTo>
                <a:pt x="6533" y="3863"/>
              </a:lnTo>
              <a:lnTo>
                <a:pt x="6554" y="3856"/>
              </a:lnTo>
              <a:lnTo>
                <a:pt x="6575" y="3848"/>
              </a:lnTo>
              <a:lnTo>
                <a:pt x="6595" y="3839"/>
              </a:lnTo>
              <a:lnTo>
                <a:pt x="6615" y="3829"/>
              </a:lnTo>
              <a:lnTo>
                <a:pt x="6633" y="3818"/>
              </a:lnTo>
              <a:lnTo>
                <a:pt x="6653" y="3806"/>
              </a:lnTo>
              <a:lnTo>
                <a:pt x="6670" y="3793"/>
              </a:lnTo>
              <a:lnTo>
                <a:pt x="6687" y="3779"/>
              </a:lnTo>
              <a:lnTo>
                <a:pt x="6705" y="3765"/>
              </a:lnTo>
              <a:lnTo>
                <a:pt x="6720" y="3750"/>
              </a:lnTo>
              <a:lnTo>
                <a:pt x="6735" y="3734"/>
              </a:lnTo>
              <a:lnTo>
                <a:pt x="6750" y="3717"/>
              </a:lnTo>
              <a:lnTo>
                <a:pt x="6764" y="3700"/>
              </a:lnTo>
              <a:lnTo>
                <a:pt x="6776" y="3682"/>
              </a:lnTo>
              <a:lnTo>
                <a:pt x="6788" y="3664"/>
              </a:lnTo>
              <a:lnTo>
                <a:pt x="6799" y="3644"/>
              </a:lnTo>
              <a:lnTo>
                <a:pt x="6810" y="3625"/>
              </a:lnTo>
              <a:lnTo>
                <a:pt x="6818" y="3605"/>
              </a:lnTo>
              <a:lnTo>
                <a:pt x="6827" y="3584"/>
              </a:lnTo>
              <a:lnTo>
                <a:pt x="6834" y="3563"/>
              </a:lnTo>
              <a:lnTo>
                <a:pt x="6840" y="3541"/>
              </a:lnTo>
              <a:lnTo>
                <a:pt x="6845" y="3519"/>
              </a:lnTo>
              <a:lnTo>
                <a:pt x="6849" y="3497"/>
              </a:lnTo>
              <a:lnTo>
                <a:pt x="6852" y="3474"/>
              </a:lnTo>
              <a:lnTo>
                <a:pt x="6853" y="3451"/>
              </a:lnTo>
              <a:lnTo>
                <a:pt x="6855" y="3428"/>
              </a:lnTo>
              <a:lnTo>
                <a:pt x="6855" y="457"/>
              </a:lnTo>
              <a:lnTo>
                <a:pt x="6853" y="433"/>
              </a:lnTo>
              <a:lnTo>
                <a:pt x="6852" y="410"/>
              </a:lnTo>
              <a:lnTo>
                <a:pt x="6849" y="388"/>
              </a:lnTo>
              <a:lnTo>
                <a:pt x="6845" y="365"/>
              </a:lnTo>
              <a:lnTo>
                <a:pt x="6840" y="343"/>
              </a:lnTo>
              <a:lnTo>
                <a:pt x="6834" y="321"/>
              </a:lnTo>
              <a:lnTo>
                <a:pt x="6827" y="300"/>
              </a:lnTo>
              <a:lnTo>
                <a:pt x="6818" y="280"/>
              </a:lnTo>
              <a:lnTo>
                <a:pt x="6810" y="259"/>
              </a:lnTo>
              <a:lnTo>
                <a:pt x="6799" y="239"/>
              </a:lnTo>
              <a:lnTo>
                <a:pt x="6788" y="221"/>
              </a:lnTo>
              <a:lnTo>
                <a:pt x="6776" y="201"/>
              </a:lnTo>
              <a:lnTo>
                <a:pt x="6764" y="184"/>
              </a:lnTo>
              <a:lnTo>
                <a:pt x="6750" y="167"/>
              </a:lnTo>
              <a:lnTo>
                <a:pt x="6735" y="149"/>
              </a:lnTo>
              <a:lnTo>
                <a:pt x="6720" y="134"/>
              </a:lnTo>
              <a:lnTo>
                <a:pt x="6705" y="118"/>
              </a:lnTo>
              <a:lnTo>
                <a:pt x="6687" y="105"/>
              </a:lnTo>
              <a:lnTo>
                <a:pt x="6670" y="91"/>
              </a:lnTo>
              <a:lnTo>
                <a:pt x="6653" y="78"/>
              </a:lnTo>
              <a:lnTo>
                <a:pt x="6633" y="67"/>
              </a:lnTo>
              <a:lnTo>
                <a:pt x="6615" y="55"/>
              </a:lnTo>
              <a:lnTo>
                <a:pt x="6595" y="45"/>
              </a:lnTo>
              <a:lnTo>
                <a:pt x="6575" y="35"/>
              </a:lnTo>
              <a:lnTo>
                <a:pt x="6554" y="27"/>
              </a:lnTo>
              <a:lnTo>
                <a:pt x="6533" y="20"/>
              </a:lnTo>
              <a:lnTo>
                <a:pt x="6511" y="15"/>
              </a:lnTo>
              <a:lnTo>
                <a:pt x="6489" y="9"/>
              </a:lnTo>
              <a:lnTo>
                <a:pt x="6466" y="5"/>
              </a:lnTo>
              <a:lnTo>
                <a:pt x="6444" y="2"/>
              </a:lnTo>
              <a:lnTo>
                <a:pt x="6421" y="1"/>
              </a:lnTo>
              <a:lnTo>
                <a:pt x="6397" y="0"/>
              </a:lnTo>
              <a:close/>
              <a:moveTo>
                <a:pt x="6625" y="3428"/>
              </a:moveTo>
              <a:lnTo>
                <a:pt x="6625" y="3428"/>
              </a:lnTo>
              <a:lnTo>
                <a:pt x="6624" y="3451"/>
              </a:lnTo>
              <a:lnTo>
                <a:pt x="6621" y="3474"/>
              </a:lnTo>
              <a:lnTo>
                <a:pt x="6616" y="3496"/>
              </a:lnTo>
              <a:lnTo>
                <a:pt x="6608" y="3517"/>
              </a:lnTo>
              <a:lnTo>
                <a:pt x="6599" y="3536"/>
              </a:lnTo>
              <a:lnTo>
                <a:pt x="6587" y="3555"/>
              </a:lnTo>
              <a:lnTo>
                <a:pt x="6573" y="3573"/>
              </a:lnTo>
              <a:lnTo>
                <a:pt x="6558" y="3589"/>
              </a:lnTo>
              <a:lnTo>
                <a:pt x="6542" y="3604"/>
              </a:lnTo>
              <a:lnTo>
                <a:pt x="6525" y="3617"/>
              </a:lnTo>
              <a:lnTo>
                <a:pt x="6507" y="3628"/>
              </a:lnTo>
              <a:lnTo>
                <a:pt x="6486" y="3638"/>
              </a:lnTo>
              <a:lnTo>
                <a:pt x="6465" y="3646"/>
              </a:lnTo>
              <a:lnTo>
                <a:pt x="6443" y="3651"/>
              </a:lnTo>
              <a:lnTo>
                <a:pt x="6420" y="3655"/>
              </a:lnTo>
              <a:lnTo>
                <a:pt x="6397" y="3656"/>
              </a:lnTo>
              <a:lnTo>
                <a:pt x="456" y="3656"/>
              </a:lnTo>
              <a:lnTo>
                <a:pt x="433" y="3655"/>
              </a:lnTo>
              <a:lnTo>
                <a:pt x="410" y="3651"/>
              </a:lnTo>
              <a:lnTo>
                <a:pt x="388" y="3646"/>
              </a:lnTo>
              <a:lnTo>
                <a:pt x="368" y="3638"/>
              </a:lnTo>
              <a:lnTo>
                <a:pt x="348" y="3628"/>
              </a:lnTo>
              <a:lnTo>
                <a:pt x="330" y="3617"/>
              </a:lnTo>
              <a:lnTo>
                <a:pt x="311" y="3604"/>
              </a:lnTo>
              <a:lnTo>
                <a:pt x="295" y="3589"/>
              </a:lnTo>
              <a:lnTo>
                <a:pt x="280" y="3573"/>
              </a:lnTo>
              <a:lnTo>
                <a:pt x="267" y="3555"/>
              </a:lnTo>
              <a:lnTo>
                <a:pt x="256" y="3536"/>
              </a:lnTo>
              <a:lnTo>
                <a:pt x="247" y="3517"/>
              </a:lnTo>
              <a:lnTo>
                <a:pt x="239" y="3496"/>
              </a:lnTo>
              <a:lnTo>
                <a:pt x="233" y="3474"/>
              </a:lnTo>
              <a:lnTo>
                <a:pt x="229" y="3451"/>
              </a:lnTo>
              <a:lnTo>
                <a:pt x="228" y="3428"/>
              </a:lnTo>
              <a:lnTo>
                <a:pt x="228" y="457"/>
              </a:lnTo>
              <a:lnTo>
                <a:pt x="229" y="433"/>
              </a:lnTo>
              <a:lnTo>
                <a:pt x="233" y="411"/>
              </a:lnTo>
              <a:lnTo>
                <a:pt x="239" y="389"/>
              </a:lnTo>
              <a:lnTo>
                <a:pt x="247" y="368"/>
              </a:lnTo>
              <a:lnTo>
                <a:pt x="256" y="348"/>
              </a:lnTo>
              <a:lnTo>
                <a:pt x="267" y="329"/>
              </a:lnTo>
              <a:lnTo>
                <a:pt x="280" y="312"/>
              </a:lnTo>
              <a:lnTo>
                <a:pt x="295" y="296"/>
              </a:lnTo>
              <a:lnTo>
                <a:pt x="311" y="281"/>
              </a:lnTo>
              <a:lnTo>
                <a:pt x="330" y="267"/>
              </a:lnTo>
              <a:lnTo>
                <a:pt x="348" y="255"/>
              </a:lnTo>
              <a:lnTo>
                <a:pt x="368" y="246"/>
              </a:lnTo>
              <a:lnTo>
                <a:pt x="388" y="238"/>
              </a:lnTo>
              <a:lnTo>
                <a:pt x="410" y="232"/>
              </a:lnTo>
              <a:lnTo>
                <a:pt x="433" y="229"/>
              </a:lnTo>
              <a:lnTo>
                <a:pt x="456" y="228"/>
              </a:lnTo>
              <a:lnTo>
                <a:pt x="6397" y="228"/>
              </a:lnTo>
              <a:lnTo>
                <a:pt x="6420" y="229"/>
              </a:lnTo>
              <a:lnTo>
                <a:pt x="6443" y="232"/>
              </a:lnTo>
              <a:lnTo>
                <a:pt x="6465" y="238"/>
              </a:lnTo>
              <a:lnTo>
                <a:pt x="6486" y="246"/>
              </a:lnTo>
              <a:lnTo>
                <a:pt x="6507" y="255"/>
              </a:lnTo>
              <a:lnTo>
                <a:pt x="6525" y="267"/>
              </a:lnTo>
              <a:lnTo>
                <a:pt x="6542" y="281"/>
              </a:lnTo>
              <a:lnTo>
                <a:pt x="6558" y="296"/>
              </a:lnTo>
              <a:lnTo>
                <a:pt x="6573" y="312"/>
              </a:lnTo>
              <a:lnTo>
                <a:pt x="6587" y="329"/>
              </a:lnTo>
              <a:lnTo>
                <a:pt x="6599" y="348"/>
              </a:lnTo>
              <a:lnTo>
                <a:pt x="6608" y="368"/>
              </a:lnTo>
              <a:lnTo>
                <a:pt x="6616" y="389"/>
              </a:lnTo>
              <a:lnTo>
                <a:pt x="6621" y="411"/>
              </a:lnTo>
              <a:lnTo>
                <a:pt x="6624" y="433"/>
              </a:lnTo>
              <a:lnTo>
                <a:pt x="6625" y="457"/>
              </a:lnTo>
              <a:lnTo>
                <a:pt x="6625" y="3428"/>
              </a:lnTo>
              <a:close/>
            </a:path>
          </a:pathLst>
        </a:custGeom>
        <a:solidFill>
          <a:srgbClr val="6EB197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  <xdr:txBody>
        <a:bodyPr bIns="144000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9pPr>
        </a:lstStyle>
        <a:p>
          <a:pPr algn="ctr">
            <a:defRPr/>
          </a:pPr>
          <a:endParaRPr lang="zh-CN" altLang="en-US" dirty="0">
            <a:solidFill>
              <a:srgbClr val="FFFFFF"/>
            </a:solidFill>
          </a:endParaRPr>
        </a:p>
      </xdr:txBody>
    </xdr:sp>
    <xdr:clientData/>
  </xdr:twoCellAnchor>
  <xdr:oneCellAnchor>
    <xdr:from>
      <xdr:col>2</xdr:col>
      <xdr:colOff>151130</xdr:colOff>
      <xdr:row>3</xdr:row>
      <xdr:rowOff>176530</xdr:rowOff>
    </xdr:from>
    <xdr:ext cx="5669280" cy="890905"/>
    <xdr:sp>
      <xdr:nvSpPr>
        <xdr:cNvPr id="4" name="矩形 3"/>
        <xdr:cNvSpPr/>
      </xdr:nvSpPr>
      <xdr:spPr>
        <a:xfrm>
          <a:off x="1408430" y="709930"/>
          <a:ext cx="5669280" cy="890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rgbClr val="A9223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人事月报表明细系统</a:t>
          </a:r>
          <a:endParaRPr lang="zh-CN" altLang="en-US" sz="4800" b="1">
            <a:solidFill>
              <a:srgbClr val="A9223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</xdr:col>
      <xdr:colOff>102235</xdr:colOff>
      <xdr:row>22</xdr:row>
      <xdr:rowOff>3175</xdr:rowOff>
    </xdr:from>
    <xdr:to>
      <xdr:col>12</xdr:col>
      <xdr:colOff>213995</xdr:colOff>
      <xdr:row>23</xdr:row>
      <xdr:rowOff>158115</xdr:rowOff>
    </xdr:to>
    <xdr:grpSp>
      <xdr:nvGrpSpPr>
        <xdr:cNvPr id="5" name="组合 4"/>
        <xdr:cNvGrpSpPr/>
      </xdr:nvGrpSpPr>
      <xdr:grpSpPr>
        <a:xfrm>
          <a:off x="730885" y="3914775"/>
          <a:ext cx="7026910" cy="332740"/>
          <a:chOff x="781" y="4119"/>
          <a:chExt cx="10166" cy="465"/>
        </a:xfrm>
        <a:solidFill>
          <a:srgbClr val="A92230"/>
        </a:solidFill>
      </xdr:grpSpPr>
      <xdr:sp>
        <xdr:nvSpPr>
          <xdr:cNvPr id="6" name="文本框 5">
            <a:hlinkClick xmlns:r="http://schemas.openxmlformats.org/officeDocument/2006/relationships" r:id="rId1"/>
          </xdr:cNvPr>
          <xdr:cNvSpPr txBox="1"/>
        </xdr:nvSpPr>
        <xdr:spPr>
          <a:xfrm>
            <a:off x="781" y="4133"/>
            <a:ext cx="2183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6-员工入职明细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7" name="文本框 6">
            <a:hlinkClick xmlns:r="http://schemas.openxmlformats.org/officeDocument/2006/relationships" r:id="rId2"/>
          </xdr:cNvPr>
          <xdr:cNvSpPr txBox="1"/>
        </xdr:nvSpPr>
        <xdr:spPr>
          <a:xfrm>
            <a:off x="3411" y="4148"/>
            <a:ext cx="2191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7-员工培训明细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8" name="文本框 7">
            <a:hlinkClick xmlns:r="http://schemas.openxmlformats.org/officeDocument/2006/relationships" r:id="rId3"/>
          </xdr:cNvPr>
          <xdr:cNvSpPr txBox="1"/>
        </xdr:nvSpPr>
        <xdr:spPr>
          <a:xfrm>
            <a:off x="8748" y="4119"/>
            <a:ext cx="2199" cy="435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9-员工任命明细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9" name="文本框 8">
            <a:hlinkClick xmlns:r="http://schemas.openxmlformats.org/officeDocument/2006/relationships" r:id="rId4"/>
          </xdr:cNvPr>
          <xdr:cNvSpPr txBox="1"/>
        </xdr:nvSpPr>
        <xdr:spPr>
          <a:xfrm>
            <a:off x="6104" y="4133"/>
            <a:ext cx="2182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8-员工转正明细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</xdr:col>
      <xdr:colOff>114935</xdr:colOff>
      <xdr:row>18</xdr:row>
      <xdr:rowOff>17780</xdr:rowOff>
    </xdr:from>
    <xdr:to>
      <xdr:col>12</xdr:col>
      <xdr:colOff>201295</xdr:colOff>
      <xdr:row>20</xdr:row>
      <xdr:rowOff>19685</xdr:rowOff>
    </xdr:to>
    <xdr:grpSp>
      <xdr:nvGrpSpPr>
        <xdr:cNvPr id="14" name="组合 13"/>
        <xdr:cNvGrpSpPr/>
      </xdr:nvGrpSpPr>
      <xdr:grpSpPr>
        <a:xfrm>
          <a:off x="743585" y="3218180"/>
          <a:ext cx="7001510" cy="357505"/>
          <a:chOff x="825" y="3480"/>
          <a:chExt cx="10126" cy="443"/>
        </a:xfrm>
        <a:solidFill>
          <a:srgbClr val="A92230"/>
        </a:solidFill>
      </xdr:grpSpPr>
      <xdr:sp>
        <xdr:nvSpPr>
          <xdr:cNvPr id="15" name="文本框 14">
            <a:hlinkClick xmlns:r="http://schemas.openxmlformats.org/officeDocument/2006/relationships" r:id="rId5"/>
          </xdr:cNvPr>
          <xdr:cNvSpPr txBox="1"/>
        </xdr:nvSpPr>
        <xdr:spPr>
          <a:xfrm>
            <a:off x="6088" y="3487"/>
            <a:ext cx="2191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4-招聘信息明细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16" name="文本框 15">
            <a:hlinkClick xmlns:r="http://schemas.openxmlformats.org/officeDocument/2006/relationships" r:id="rId6"/>
          </xdr:cNvPr>
          <xdr:cNvSpPr txBox="1"/>
        </xdr:nvSpPr>
        <xdr:spPr>
          <a:xfrm>
            <a:off x="8755" y="3487"/>
            <a:ext cx="2197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5-员工到岗统计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17" name="文本框 16">
            <a:hlinkClick xmlns:r="http://schemas.openxmlformats.org/officeDocument/2006/relationships" r:id="rId7"/>
          </xdr:cNvPr>
          <xdr:cNvSpPr txBox="1"/>
        </xdr:nvSpPr>
        <xdr:spPr>
          <a:xfrm>
            <a:off x="3415" y="3487"/>
            <a:ext cx="2195" cy="436"/>
          </a:xfrm>
          <a:prstGeom prst="rect">
            <a:avLst/>
          </a:prstGeom>
          <a:grpFill/>
          <a:ln w="9525" cmpd="sng">
            <a:solidFill>
              <a:schemeClr val="bg1">
                <a:lumMod val="85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3-员工情况统计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18" name="文本框 17">
            <a:hlinkClick xmlns:r="http://schemas.openxmlformats.org/officeDocument/2006/relationships" r:id="rId8"/>
          </xdr:cNvPr>
          <xdr:cNvSpPr txBox="1"/>
        </xdr:nvSpPr>
        <xdr:spPr>
          <a:xfrm>
            <a:off x="825" y="3480"/>
            <a:ext cx="2235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2-人员类别明细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</xdr:col>
      <xdr:colOff>102235</xdr:colOff>
      <xdr:row>25</xdr:row>
      <xdr:rowOff>138430</xdr:rowOff>
    </xdr:from>
    <xdr:to>
      <xdr:col>12</xdr:col>
      <xdr:colOff>213995</xdr:colOff>
      <xdr:row>27</xdr:row>
      <xdr:rowOff>115570</xdr:rowOff>
    </xdr:to>
    <xdr:grpSp>
      <xdr:nvGrpSpPr>
        <xdr:cNvPr id="19" name="组合 18"/>
        <xdr:cNvGrpSpPr/>
      </xdr:nvGrpSpPr>
      <xdr:grpSpPr>
        <a:xfrm>
          <a:off x="730885" y="4583430"/>
          <a:ext cx="7026910" cy="332740"/>
          <a:chOff x="781" y="4119"/>
          <a:chExt cx="10166" cy="465"/>
        </a:xfrm>
        <a:solidFill>
          <a:srgbClr val="A92230"/>
        </a:solidFill>
      </xdr:grpSpPr>
      <xdr:sp>
        <xdr:nvSpPr>
          <xdr:cNvPr id="20" name="文本框 19">
            <a:hlinkClick xmlns:r="http://schemas.openxmlformats.org/officeDocument/2006/relationships" r:id="rId9"/>
          </xdr:cNvPr>
          <xdr:cNvSpPr txBox="1"/>
        </xdr:nvSpPr>
        <xdr:spPr>
          <a:xfrm>
            <a:off x="781" y="4133"/>
            <a:ext cx="2183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10-员工签订合同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21" name="文本框 20">
            <a:hlinkClick xmlns:r="http://schemas.openxmlformats.org/officeDocument/2006/relationships" r:id="rId9"/>
          </xdr:cNvPr>
          <xdr:cNvSpPr txBox="1"/>
        </xdr:nvSpPr>
        <xdr:spPr>
          <a:xfrm>
            <a:off x="3411" y="4148"/>
            <a:ext cx="2191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11-员工续签合同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22" name="文本框 21">
            <a:hlinkClick xmlns:r="http://schemas.openxmlformats.org/officeDocument/2006/relationships" r:id="rId10"/>
          </xdr:cNvPr>
          <xdr:cNvSpPr txBox="1"/>
        </xdr:nvSpPr>
        <xdr:spPr>
          <a:xfrm>
            <a:off x="8748" y="4119"/>
            <a:ext cx="2199" cy="435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13-人事费用明细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23" name="文本框 22">
            <a:hlinkClick xmlns:r="http://schemas.openxmlformats.org/officeDocument/2006/relationships" r:id="rId11"/>
          </xdr:cNvPr>
          <xdr:cNvSpPr txBox="1"/>
        </xdr:nvSpPr>
        <xdr:spPr>
          <a:xfrm>
            <a:off x="6104" y="4133"/>
            <a:ext cx="2182" cy="436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12-员工离职明细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</xdr:col>
      <xdr:colOff>244475</xdr:colOff>
      <xdr:row>12</xdr:row>
      <xdr:rowOff>15240</xdr:rowOff>
    </xdr:from>
    <xdr:to>
      <xdr:col>9</xdr:col>
      <xdr:colOff>225425</xdr:colOff>
      <xdr:row>16</xdr:row>
      <xdr:rowOff>38735</xdr:rowOff>
    </xdr:to>
    <xdr:grpSp>
      <xdr:nvGrpSpPr>
        <xdr:cNvPr id="26" name="组合 25"/>
        <xdr:cNvGrpSpPr/>
      </xdr:nvGrpSpPr>
      <xdr:grpSpPr>
        <a:xfrm>
          <a:off x="2759075" y="2148840"/>
          <a:ext cx="3124200" cy="734695"/>
          <a:chOff x="4117" y="3123"/>
          <a:chExt cx="4931" cy="1144"/>
        </a:xfrm>
        <a:solidFill>
          <a:srgbClr val="A92230"/>
        </a:solidFill>
      </xdr:grpSpPr>
      <xdr:sp>
        <xdr:nvSpPr>
          <xdr:cNvPr id="13" name="团队"/>
          <xdr:cNvSpPr/>
        </xdr:nvSpPr>
        <xdr:spPr>
          <a:xfrm>
            <a:off x="4117" y="3123"/>
            <a:ext cx="1705" cy="1144"/>
          </a:xfrm>
          <a:custGeom>
            <a:avLst/>
            <a:gdLst/>
            <a:ahLst/>
            <a:cxnLst/>
            <a:rect l="0" t="0" r="r" b="b"/>
            <a:pathLst>
              <a:path w="2608263" h="1778000">
                <a:moveTo>
                  <a:pt x="1956693" y="381000"/>
                </a:moveTo>
                <a:lnTo>
                  <a:pt x="1966217" y="381397"/>
                </a:lnTo>
                <a:lnTo>
                  <a:pt x="1975740" y="382192"/>
                </a:lnTo>
                <a:lnTo>
                  <a:pt x="1986057" y="382986"/>
                </a:lnTo>
                <a:lnTo>
                  <a:pt x="1995581" y="384575"/>
                </a:lnTo>
                <a:lnTo>
                  <a:pt x="2005501" y="386562"/>
                </a:lnTo>
                <a:lnTo>
                  <a:pt x="2015819" y="388548"/>
                </a:lnTo>
                <a:lnTo>
                  <a:pt x="2025739" y="391726"/>
                </a:lnTo>
                <a:lnTo>
                  <a:pt x="2035263" y="394904"/>
                </a:lnTo>
                <a:lnTo>
                  <a:pt x="2045580" y="398876"/>
                </a:lnTo>
                <a:lnTo>
                  <a:pt x="2055500" y="403246"/>
                </a:lnTo>
                <a:lnTo>
                  <a:pt x="2065421" y="408807"/>
                </a:lnTo>
                <a:lnTo>
                  <a:pt x="2075738" y="414766"/>
                </a:lnTo>
                <a:lnTo>
                  <a:pt x="2101927" y="438998"/>
                </a:lnTo>
                <a:lnTo>
                  <a:pt x="2143990" y="446149"/>
                </a:lnTo>
                <a:lnTo>
                  <a:pt x="2147958" y="448929"/>
                </a:lnTo>
                <a:lnTo>
                  <a:pt x="2151926" y="452107"/>
                </a:lnTo>
                <a:lnTo>
                  <a:pt x="2155497" y="455683"/>
                </a:lnTo>
                <a:lnTo>
                  <a:pt x="2158672" y="459655"/>
                </a:lnTo>
                <a:lnTo>
                  <a:pt x="2161847" y="464025"/>
                </a:lnTo>
                <a:lnTo>
                  <a:pt x="2164624" y="468395"/>
                </a:lnTo>
                <a:lnTo>
                  <a:pt x="2169783" y="477531"/>
                </a:lnTo>
                <a:lnTo>
                  <a:pt x="2173751" y="485874"/>
                </a:lnTo>
                <a:lnTo>
                  <a:pt x="2176529" y="493024"/>
                </a:lnTo>
                <a:lnTo>
                  <a:pt x="2179306" y="499380"/>
                </a:lnTo>
                <a:lnTo>
                  <a:pt x="2182878" y="516064"/>
                </a:lnTo>
                <a:lnTo>
                  <a:pt x="2186052" y="532749"/>
                </a:lnTo>
                <a:lnTo>
                  <a:pt x="2188036" y="549433"/>
                </a:lnTo>
                <a:lnTo>
                  <a:pt x="2189623" y="565720"/>
                </a:lnTo>
                <a:lnTo>
                  <a:pt x="2190417" y="582008"/>
                </a:lnTo>
                <a:lnTo>
                  <a:pt x="2190814" y="598692"/>
                </a:lnTo>
                <a:lnTo>
                  <a:pt x="2190814" y="615376"/>
                </a:lnTo>
                <a:lnTo>
                  <a:pt x="2190417" y="632855"/>
                </a:lnTo>
                <a:lnTo>
                  <a:pt x="2190020" y="642389"/>
                </a:lnTo>
                <a:lnTo>
                  <a:pt x="2188830" y="656293"/>
                </a:lnTo>
                <a:lnTo>
                  <a:pt x="2185259" y="692840"/>
                </a:lnTo>
                <a:lnTo>
                  <a:pt x="2183671" y="711908"/>
                </a:lnTo>
                <a:lnTo>
                  <a:pt x="2182878" y="730578"/>
                </a:lnTo>
                <a:lnTo>
                  <a:pt x="2182084" y="746468"/>
                </a:lnTo>
                <a:lnTo>
                  <a:pt x="2182481" y="753221"/>
                </a:lnTo>
                <a:lnTo>
                  <a:pt x="2182878" y="758386"/>
                </a:lnTo>
                <a:lnTo>
                  <a:pt x="2183671" y="765139"/>
                </a:lnTo>
                <a:lnTo>
                  <a:pt x="2184862" y="771098"/>
                </a:lnTo>
                <a:lnTo>
                  <a:pt x="2186449" y="775865"/>
                </a:lnTo>
                <a:lnTo>
                  <a:pt x="2188433" y="779837"/>
                </a:lnTo>
                <a:lnTo>
                  <a:pt x="2192798" y="787782"/>
                </a:lnTo>
                <a:lnTo>
                  <a:pt x="2195179" y="792152"/>
                </a:lnTo>
                <a:lnTo>
                  <a:pt x="2198353" y="798508"/>
                </a:lnTo>
                <a:lnTo>
                  <a:pt x="2200734" y="804069"/>
                </a:lnTo>
                <a:lnTo>
                  <a:pt x="2202719" y="810028"/>
                </a:lnTo>
                <a:lnTo>
                  <a:pt x="2204306" y="815987"/>
                </a:lnTo>
                <a:lnTo>
                  <a:pt x="2205496" y="822343"/>
                </a:lnTo>
                <a:lnTo>
                  <a:pt x="2206687" y="829096"/>
                </a:lnTo>
                <a:lnTo>
                  <a:pt x="2207480" y="835452"/>
                </a:lnTo>
                <a:lnTo>
                  <a:pt x="2207877" y="842205"/>
                </a:lnTo>
                <a:lnTo>
                  <a:pt x="2207877" y="848561"/>
                </a:lnTo>
                <a:lnTo>
                  <a:pt x="2207480" y="862465"/>
                </a:lnTo>
                <a:lnTo>
                  <a:pt x="2206290" y="875177"/>
                </a:lnTo>
                <a:lnTo>
                  <a:pt x="2204306" y="887889"/>
                </a:lnTo>
                <a:lnTo>
                  <a:pt x="2202321" y="899806"/>
                </a:lnTo>
                <a:lnTo>
                  <a:pt x="2199544" y="913312"/>
                </a:lnTo>
                <a:lnTo>
                  <a:pt x="2197560" y="920463"/>
                </a:lnTo>
                <a:lnTo>
                  <a:pt x="2195179" y="927613"/>
                </a:lnTo>
                <a:lnTo>
                  <a:pt x="2192798" y="934367"/>
                </a:lnTo>
                <a:lnTo>
                  <a:pt x="2190020" y="941517"/>
                </a:lnTo>
                <a:lnTo>
                  <a:pt x="2186846" y="947873"/>
                </a:lnTo>
                <a:lnTo>
                  <a:pt x="2183275" y="953037"/>
                </a:lnTo>
                <a:lnTo>
                  <a:pt x="2181291" y="955818"/>
                </a:lnTo>
                <a:lnTo>
                  <a:pt x="2178909" y="958201"/>
                </a:lnTo>
                <a:lnTo>
                  <a:pt x="2176132" y="960188"/>
                </a:lnTo>
                <a:lnTo>
                  <a:pt x="2173354" y="961777"/>
                </a:lnTo>
                <a:lnTo>
                  <a:pt x="2167799" y="965749"/>
                </a:lnTo>
                <a:lnTo>
                  <a:pt x="2162243" y="968530"/>
                </a:lnTo>
                <a:lnTo>
                  <a:pt x="2156291" y="971708"/>
                </a:lnTo>
                <a:lnTo>
                  <a:pt x="2151133" y="975283"/>
                </a:lnTo>
                <a:lnTo>
                  <a:pt x="2147958" y="977269"/>
                </a:lnTo>
                <a:lnTo>
                  <a:pt x="2145974" y="979653"/>
                </a:lnTo>
                <a:lnTo>
                  <a:pt x="2143593" y="982434"/>
                </a:lnTo>
                <a:lnTo>
                  <a:pt x="2142006" y="985612"/>
                </a:lnTo>
                <a:lnTo>
                  <a:pt x="2139625" y="990379"/>
                </a:lnTo>
                <a:lnTo>
                  <a:pt x="2137641" y="995543"/>
                </a:lnTo>
                <a:lnTo>
                  <a:pt x="2136450" y="1000707"/>
                </a:lnTo>
                <a:lnTo>
                  <a:pt x="2135260" y="1005871"/>
                </a:lnTo>
                <a:lnTo>
                  <a:pt x="2134466" y="1011433"/>
                </a:lnTo>
                <a:lnTo>
                  <a:pt x="2133673" y="1016597"/>
                </a:lnTo>
                <a:lnTo>
                  <a:pt x="2132879" y="1028514"/>
                </a:lnTo>
                <a:lnTo>
                  <a:pt x="2132085" y="1039637"/>
                </a:lnTo>
                <a:lnTo>
                  <a:pt x="2131292" y="1051158"/>
                </a:lnTo>
                <a:lnTo>
                  <a:pt x="2130895" y="1056719"/>
                </a:lnTo>
                <a:lnTo>
                  <a:pt x="2130101" y="1061883"/>
                </a:lnTo>
                <a:lnTo>
                  <a:pt x="2128911" y="1067445"/>
                </a:lnTo>
                <a:lnTo>
                  <a:pt x="2127721" y="1072212"/>
                </a:lnTo>
                <a:lnTo>
                  <a:pt x="2125736" y="1078170"/>
                </a:lnTo>
                <a:lnTo>
                  <a:pt x="2123355" y="1082937"/>
                </a:lnTo>
                <a:lnTo>
                  <a:pt x="2120578" y="1087307"/>
                </a:lnTo>
                <a:lnTo>
                  <a:pt x="2117800" y="1091280"/>
                </a:lnTo>
                <a:lnTo>
                  <a:pt x="2112245" y="1098430"/>
                </a:lnTo>
                <a:lnTo>
                  <a:pt x="2106293" y="1105183"/>
                </a:lnTo>
                <a:lnTo>
                  <a:pt x="2103515" y="1109156"/>
                </a:lnTo>
                <a:lnTo>
                  <a:pt x="2101134" y="1112731"/>
                </a:lnTo>
                <a:lnTo>
                  <a:pt x="2098356" y="1116703"/>
                </a:lnTo>
                <a:lnTo>
                  <a:pt x="2096372" y="1121470"/>
                </a:lnTo>
                <a:lnTo>
                  <a:pt x="2093991" y="1126237"/>
                </a:lnTo>
                <a:lnTo>
                  <a:pt x="2092801" y="1131799"/>
                </a:lnTo>
                <a:lnTo>
                  <a:pt x="2091610" y="1138155"/>
                </a:lnTo>
                <a:lnTo>
                  <a:pt x="2090817" y="1145305"/>
                </a:lnTo>
                <a:lnTo>
                  <a:pt x="2127721" y="1150470"/>
                </a:lnTo>
                <a:lnTo>
                  <a:pt x="2138435" y="1173907"/>
                </a:lnTo>
                <a:lnTo>
                  <a:pt x="2144783" y="1187016"/>
                </a:lnTo>
                <a:lnTo>
                  <a:pt x="2152323" y="1201317"/>
                </a:lnTo>
                <a:lnTo>
                  <a:pt x="2159863" y="1214426"/>
                </a:lnTo>
                <a:lnTo>
                  <a:pt x="2163831" y="1220782"/>
                </a:lnTo>
                <a:lnTo>
                  <a:pt x="2167799" y="1226741"/>
                </a:lnTo>
                <a:lnTo>
                  <a:pt x="2171767" y="1231905"/>
                </a:lnTo>
                <a:lnTo>
                  <a:pt x="2175735" y="1236672"/>
                </a:lnTo>
                <a:lnTo>
                  <a:pt x="2180497" y="1240645"/>
                </a:lnTo>
                <a:lnTo>
                  <a:pt x="2184862" y="1243823"/>
                </a:lnTo>
                <a:lnTo>
                  <a:pt x="2241606" y="1259713"/>
                </a:lnTo>
                <a:lnTo>
                  <a:pt x="2293192" y="1281164"/>
                </a:lnTo>
                <a:lnTo>
                  <a:pt x="2345572" y="1303807"/>
                </a:lnTo>
                <a:lnTo>
                  <a:pt x="2397951" y="1326053"/>
                </a:lnTo>
                <a:lnTo>
                  <a:pt x="2449140" y="1347902"/>
                </a:lnTo>
                <a:lnTo>
                  <a:pt x="2461045" y="1352669"/>
                </a:lnTo>
                <a:lnTo>
                  <a:pt x="2472552" y="1356641"/>
                </a:lnTo>
                <a:lnTo>
                  <a:pt x="2496361" y="1365381"/>
                </a:lnTo>
                <a:lnTo>
                  <a:pt x="2519773" y="1373723"/>
                </a:lnTo>
                <a:lnTo>
                  <a:pt x="2530884" y="1378093"/>
                </a:lnTo>
                <a:lnTo>
                  <a:pt x="2541995" y="1382860"/>
                </a:lnTo>
                <a:lnTo>
                  <a:pt x="2552312" y="1388421"/>
                </a:lnTo>
                <a:lnTo>
                  <a:pt x="2562233" y="1394380"/>
                </a:lnTo>
                <a:lnTo>
                  <a:pt x="2566597" y="1397558"/>
                </a:lnTo>
                <a:lnTo>
                  <a:pt x="2571756" y="1400736"/>
                </a:lnTo>
                <a:lnTo>
                  <a:pt x="2576121" y="1404311"/>
                </a:lnTo>
                <a:lnTo>
                  <a:pt x="2580089" y="1407886"/>
                </a:lnTo>
                <a:lnTo>
                  <a:pt x="2584057" y="1411859"/>
                </a:lnTo>
                <a:lnTo>
                  <a:pt x="2587629" y="1416228"/>
                </a:lnTo>
                <a:lnTo>
                  <a:pt x="2591200" y="1420598"/>
                </a:lnTo>
                <a:lnTo>
                  <a:pt x="2594375" y="1425365"/>
                </a:lnTo>
                <a:lnTo>
                  <a:pt x="2597946" y="1430132"/>
                </a:lnTo>
                <a:lnTo>
                  <a:pt x="2600723" y="1435296"/>
                </a:lnTo>
                <a:lnTo>
                  <a:pt x="2603105" y="1440858"/>
                </a:lnTo>
                <a:lnTo>
                  <a:pt x="2605089" y="1446817"/>
                </a:lnTo>
                <a:lnTo>
                  <a:pt x="2605485" y="1465487"/>
                </a:lnTo>
                <a:lnTo>
                  <a:pt x="2605882" y="1488528"/>
                </a:lnTo>
                <a:lnTo>
                  <a:pt x="2607073" y="1542951"/>
                </a:lnTo>
                <a:lnTo>
                  <a:pt x="2608263" y="1599757"/>
                </a:lnTo>
                <a:lnTo>
                  <a:pt x="2608263" y="1625975"/>
                </a:lnTo>
                <a:lnTo>
                  <a:pt x="2608263" y="1649413"/>
                </a:lnTo>
                <a:lnTo>
                  <a:pt x="2308271" y="1649413"/>
                </a:lnTo>
                <a:lnTo>
                  <a:pt x="2307081" y="1594196"/>
                </a:lnTo>
                <a:lnTo>
                  <a:pt x="2305493" y="1538581"/>
                </a:lnTo>
                <a:lnTo>
                  <a:pt x="2305097" y="1494486"/>
                </a:lnTo>
                <a:lnTo>
                  <a:pt x="2305097" y="1482172"/>
                </a:lnTo>
                <a:lnTo>
                  <a:pt x="2301129" y="1470651"/>
                </a:lnTo>
                <a:lnTo>
                  <a:pt x="2297557" y="1461117"/>
                </a:lnTo>
                <a:lnTo>
                  <a:pt x="2293986" y="1451981"/>
                </a:lnTo>
                <a:lnTo>
                  <a:pt x="2289224" y="1443241"/>
                </a:lnTo>
                <a:lnTo>
                  <a:pt x="2284859" y="1434899"/>
                </a:lnTo>
                <a:lnTo>
                  <a:pt x="2280097" y="1426954"/>
                </a:lnTo>
                <a:lnTo>
                  <a:pt x="2275335" y="1419406"/>
                </a:lnTo>
                <a:lnTo>
                  <a:pt x="2270177" y="1411859"/>
                </a:lnTo>
                <a:lnTo>
                  <a:pt x="2264621" y="1405106"/>
                </a:lnTo>
                <a:lnTo>
                  <a:pt x="2258669" y="1398352"/>
                </a:lnTo>
                <a:lnTo>
                  <a:pt x="2252717" y="1391996"/>
                </a:lnTo>
                <a:lnTo>
                  <a:pt x="2246765" y="1386435"/>
                </a:lnTo>
                <a:lnTo>
                  <a:pt x="2240416" y="1380079"/>
                </a:lnTo>
                <a:lnTo>
                  <a:pt x="2234067" y="1374915"/>
                </a:lnTo>
                <a:lnTo>
                  <a:pt x="2226924" y="1369750"/>
                </a:lnTo>
                <a:lnTo>
                  <a:pt x="2220178" y="1364983"/>
                </a:lnTo>
                <a:lnTo>
                  <a:pt x="2213433" y="1360217"/>
                </a:lnTo>
                <a:lnTo>
                  <a:pt x="2206290" y="1355450"/>
                </a:lnTo>
                <a:lnTo>
                  <a:pt x="2198750" y="1351080"/>
                </a:lnTo>
                <a:lnTo>
                  <a:pt x="2184465" y="1343532"/>
                </a:lnTo>
                <a:lnTo>
                  <a:pt x="2169386" y="1336382"/>
                </a:lnTo>
                <a:lnTo>
                  <a:pt x="2154307" y="1330026"/>
                </a:lnTo>
                <a:lnTo>
                  <a:pt x="2139228" y="1323670"/>
                </a:lnTo>
                <a:lnTo>
                  <a:pt x="2124546" y="1318108"/>
                </a:lnTo>
                <a:lnTo>
                  <a:pt x="2095578" y="1307780"/>
                </a:lnTo>
                <a:lnTo>
                  <a:pt x="2067405" y="1297849"/>
                </a:lnTo>
                <a:lnTo>
                  <a:pt x="2053913" y="1293082"/>
                </a:lnTo>
                <a:lnTo>
                  <a:pt x="2041215" y="1287917"/>
                </a:lnTo>
                <a:lnTo>
                  <a:pt x="1985264" y="1263685"/>
                </a:lnTo>
                <a:lnTo>
                  <a:pt x="1926932" y="1239056"/>
                </a:lnTo>
                <a:lnTo>
                  <a:pt x="1840427" y="1202112"/>
                </a:lnTo>
                <a:lnTo>
                  <a:pt x="1797571" y="1183441"/>
                </a:lnTo>
                <a:lnTo>
                  <a:pt x="1755111" y="1166359"/>
                </a:lnTo>
                <a:lnTo>
                  <a:pt x="1762651" y="1150470"/>
                </a:lnTo>
                <a:lnTo>
                  <a:pt x="1790031" y="1143716"/>
                </a:lnTo>
                <a:lnTo>
                  <a:pt x="1788047" y="1138155"/>
                </a:lnTo>
                <a:lnTo>
                  <a:pt x="1786460" y="1132196"/>
                </a:lnTo>
                <a:lnTo>
                  <a:pt x="1784873" y="1127429"/>
                </a:lnTo>
                <a:lnTo>
                  <a:pt x="1782492" y="1123457"/>
                </a:lnTo>
                <a:lnTo>
                  <a:pt x="1780111" y="1119484"/>
                </a:lnTo>
                <a:lnTo>
                  <a:pt x="1777730" y="1115909"/>
                </a:lnTo>
                <a:lnTo>
                  <a:pt x="1772571" y="1109950"/>
                </a:lnTo>
                <a:lnTo>
                  <a:pt x="1767413" y="1103594"/>
                </a:lnTo>
                <a:lnTo>
                  <a:pt x="1762254" y="1097636"/>
                </a:lnTo>
                <a:lnTo>
                  <a:pt x="1759476" y="1094458"/>
                </a:lnTo>
                <a:lnTo>
                  <a:pt x="1757095" y="1091280"/>
                </a:lnTo>
                <a:lnTo>
                  <a:pt x="1755111" y="1087307"/>
                </a:lnTo>
                <a:lnTo>
                  <a:pt x="1753524" y="1082937"/>
                </a:lnTo>
                <a:lnTo>
                  <a:pt x="1743207" y="973694"/>
                </a:lnTo>
                <a:lnTo>
                  <a:pt x="1743207" y="974091"/>
                </a:lnTo>
                <a:lnTo>
                  <a:pt x="1742413" y="974091"/>
                </a:lnTo>
                <a:lnTo>
                  <a:pt x="1739636" y="973694"/>
                </a:lnTo>
                <a:lnTo>
                  <a:pt x="1730112" y="972105"/>
                </a:lnTo>
                <a:lnTo>
                  <a:pt x="1720985" y="969324"/>
                </a:lnTo>
                <a:lnTo>
                  <a:pt x="1717414" y="968133"/>
                </a:lnTo>
                <a:lnTo>
                  <a:pt x="1715033" y="967338"/>
                </a:lnTo>
                <a:lnTo>
                  <a:pt x="1711065" y="963763"/>
                </a:lnTo>
                <a:lnTo>
                  <a:pt x="1707097" y="960188"/>
                </a:lnTo>
                <a:lnTo>
                  <a:pt x="1703129" y="955818"/>
                </a:lnTo>
                <a:lnTo>
                  <a:pt x="1699954" y="950654"/>
                </a:lnTo>
                <a:lnTo>
                  <a:pt x="1697177" y="945490"/>
                </a:lnTo>
                <a:lnTo>
                  <a:pt x="1694399" y="939531"/>
                </a:lnTo>
                <a:lnTo>
                  <a:pt x="1692018" y="932778"/>
                </a:lnTo>
                <a:lnTo>
                  <a:pt x="1689637" y="926422"/>
                </a:lnTo>
                <a:lnTo>
                  <a:pt x="1688050" y="919668"/>
                </a:lnTo>
                <a:lnTo>
                  <a:pt x="1686066" y="912518"/>
                </a:lnTo>
                <a:lnTo>
                  <a:pt x="1683288" y="897423"/>
                </a:lnTo>
                <a:lnTo>
                  <a:pt x="1681304" y="882327"/>
                </a:lnTo>
                <a:lnTo>
                  <a:pt x="1679717" y="867232"/>
                </a:lnTo>
                <a:lnTo>
                  <a:pt x="1684875" y="862465"/>
                </a:lnTo>
                <a:lnTo>
                  <a:pt x="1689637" y="857698"/>
                </a:lnTo>
                <a:lnTo>
                  <a:pt x="1694796" y="851739"/>
                </a:lnTo>
                <a:lnTo>
                  <a:pt x="1699161" y="845780"/>
                </a:lnTo>
                <a:lnTo>
                  <a:pt x="1703525" y="839424"/>
                </a:lnTo>
                <a:lnTo>
                  <a:pt x="1707891" y="832671"/>
                </a:lnTo>
                <a:lnTo>
                  <a:pt x="1711462" y="825918"/>
                </a:lnTo>
                <a:lnTo>
                  <a:pt x="1715033" y="818767"/>
                </a:lnTo>
                <a:lnTo>
                  <a:pt x="1718208" y="811617"/>
                </a:lnTo>
                <a:lnTo>
                  <a:pt x="1720985" y="804466"/>
                </a:lnTo>
                <a:lnTo>
                  <a:pt x="1726144" y="790166"/>
                </a:lnTo>
                <a:lnTo>
                  <a:pt x="1730509" y="776262"/>
                </a:lnTo>
                <a:lnTo>
                  <a:pt x="1734080" y="762755"/>
                </a:lnTo>
                <a:lnTo>
                  <a:pt x="1736858" y="750838"/>
                </a:lnTo>
                <a:lnTo>
                  <a:pt x="1738842" y="740510"/>
                </a:lnTo>
                <a:lnTo>
                  <a:pt x="1742413" y="720647"/>
                </a:lnTo>
                <a:lnTo>
                  <a:pt x="1743604" y="709524"/>
                </a:lnTo>
                <a:lnTo>
                  <a:pt x="1745191" y="698798"/>
                </a:lnTo>
                <a:lnTo>
                  <a:pt x="1746381" y="687278"/>
                </a:lnTo>
                <a:lnTo>
                  <a:pt x="1747175" y="675361"/>
                </a:lnTo>
                <a:lnTo>
                  <a:pt x="1747572" y="663443"/>
                </a:lnTo>
                <a:lnTo>
                  <a:pt x="1747572" y="651129"/>
                </a:lnTo>
                <a:lnTo>
                  <a:pt x="1747175" y="638814"/>
                </a:lnTo>
                <a:lnTo>
                  <a:pt x="1746381" y="626102"/>
                </a:lnTo>
                <a:lnTo>
                  <a:pt x="1744794" y="613787"/>
                </a:lnTo>
                <a:lnTo>
                  <a:pt x="1742810" y="601473"/>
                </a:lnTo>
                <a:lnTo>
                  <a:pt x="1740033" y="589158"/>
                </a:lnTo>
                <a:lnTo>
                  <a:pt x="1736461" y="576843"/>
                </a:lnTo>
                <a:lnTo>
                  <a:pt x="1732096" y="564529"/>
                </a:lnTo>
                <a:lnTo>
                  <a:pt x="1726937" y="553008"/>
                </a:lnTo>
                <a:lnTo>
                  <a:pt x="1723366" y="546255"/>
                </a:lnTo>
                <a:lnTo>
                  <a:pt x="1720192" y="539899"/>
                </a:lnTo>
                <a:lnTo>
                  <a:pt x="1715033" y="530365"/>
                </a:lnTo>
                <a:lnTo>
                  <a:pt x="1712652" y="526393"/>
                </a:lnTo>
                <a:lnTo>
                  <a:pt x="1711859" y="521229"/>
                </a:lnTo>
                <a:lnTo>
                  <a:pt x="1711859" y="516064"/>
                </a:lnTo>
                <a:lnTo>
                  <a:pt x="1711462" y="509708"/>
                </a:lnTo>
                <a:lnTo>
                  <a:pt x="1712255" y="493421"/>
                </a:lnTo>
                <a:lnTo>
                  <a:pt x="1716223" y="486271"/>
                </a:lnTo>
                <a:lnTo>
                  <a:pt x="1720192" y="479915"/>
                </a:lnTo>
                <a:lnTo>
                  <a:pt x="1724557" y="473559"/>
                </a:lnTo>
                <a:lnTo>
                  <a:pt x="1728922" y="467600"/>
                </a:lnTo>
                <a:lnTo>
                  <a:pt x="1734080" y="462039"/>
                </a:lnTo>
                <a:lnTo>
                  <a:pt x="1738842" y="456477"/>
                </a:lnTo>
                <a:lnTo>
                  <a:pt x="1743604" y="451313"/>
                </a:lnTo>
                <a:lnTo>
                  <a:pt x="1748762" y="446546"/>
                </a:lnTo>
                <a:lnTo>
                  <a:pt x="1754318" y="442176"/>
                </a:lnTo>
                <a:lnTo>
                  <a:pt x="1759476" y="438204"/>
                </a:lnTo>
                <a:lnTo>
                  <a:pt x="1765429" y="434231"/>
                </a:lnTo>
                <a:lnTo>
                  <a:pt x="1771381" y="430259"/>
                </a:lnTo>
                <a:lnTo>
                  <a:pt x="1776936" y="427081"/>
                </a:lnTo>
                <a:lnTo>
                  <a:pt x="1782888" y="424300"/>
                </a:lnTo>
                <a:lnTo>
                  <a:pt x="1789634" y="421917"/>
                </a:lnTo>
                <a:lnTo>
                  <a:pt x="1795587" y="419533"/>
                </a:lnTo>
                <a:lnTo>
                  <a:pt x="1820983" y="409999"/>
                </a:lnTo>
                <a:lnTo>
                  <a:pt x="1834871" y="404438"/>
                </a:lnTo>
                <a:lnTo>
                  <a:pt x="1849950" y="399273"/>
                </a:lnTo>
                <a:lnTo>
                  <a:pt x="1865823" y="394506"/>
                </a:lnTo>
                <a:lnTo>
                  <a:pt x="1882886" y="390137"/>
                </a:lnTo>
                <a:lnTo>
                  <a:pt x="1900742" y="386562"/>
                </a:lnTo>
                <a:lnTo>
                  <a:pt x="1909472" y="384973"/>
                </a:lnTo>
                <a:lnTo>
                  <a:pt x="1918599" y="383384"/>
                </a:lnTo>
                <a:lnTo>
                  <a:pt x="1927726" y="382589"/>
                </a:lnTo>
                <a:lnTo>
                  <a:pt x="1937249" y="381795"/>
                </a:lnTo>
                <a:lnTo>
                  <a:pt x="1946773" y="381397"/>
                </a:lnTo>
                <a:lnTo>
                  <a:pt x="1956693" y="381000"/>
                </a:lnTo>
                <a:close/>
                <a:moveTo>
                  <a:pt x="674585" y="381000"/>
                </a:moveTo>
                <a:lnTo>
                  <a:pt x="684505" y="381397"/>
                </a:lnTo>
                <a:lnTo>
                  <a:pt x="694029" y="382192"/>
                </a:lnTo>
                <a:lnTo>
                  <a:pt x="703552" y="382986"/>
                </a:lnTo>
                <a:lnTo>
                  <a:pt x="713870" y="384575"/>
                </a:lnTo>
                <a:lnTo>
                  <a:pt x="723790" y="386562"/>
                </a:lnTo>
                <a:lnTo>
                  <a:pt x="733710" y="388548"/>
                </a:lnTo>
                <a:lnTo>
                  <a:pt x="743631" y="391726"/>
                </a:lnTo>
                <a:lnTo>
                  <a:pt x="753551" y="394904"/>
                </a:lnTo>
                <a:lnTo>
                  <a:pt x="763868" y="398876"/>
                </a:lnTo>
                <a:lnTo>
                  <a:pt x="773789" y="403246"/>
                </a:lnTo>
                <a:lnTo>
                  <a:pt x="783709" y="408807"/>
                </a:lnTo>
                <a:lnTo>
                  <a:pt x="793629" y="414766"/>
                </a:lnTo>
                <a:lnTo>
                  <a:pt x="820216" y="438998"/>
                </a:lnTo>
                <a:lnTo>
                  <a:pt x="861088" y="446149"/>
                </a:lnTo>
                <a:lnTo>
                  <a:pt x="863866" y="468792"/>
                </a:lnTo>
                <a:lnTo>
                  <a:pt x="867040" y="491832"/>
                </a:lnTo>
                <a:lnTo>
                  <a:pt x="871008" y="514873"/>
                </a:lnTo>
                <a:lnTo>
                  <a:pt x="876167" y="539105"/>
                </a:lnTo>
                <a:lnTo>
                  <a:pt x="871405" y="548241"/>
                </a:lnTo>
                <a:lnTo>
                  <a:pt x="868231" y="554200"/>
                </a:lnTo>
                <a:lnTo>
                  <a:pt x="864659" y="560556"/>
                </a:lnTo>
                <a:lnTo>
                  <a:pt x="861088" y="568501"/>
                </a:lnTo>
                <a:lnTo>
                  <a:pt x="858310" y="577241"/>
                </a:lnTo>
                <a:lnTo>
                  <a:pt x="855533" y="586377"/>
                </a:lnTo>
                <a:lnTo>
                  <a:pt x="854342" y="591144"/>
                </a:lnTo>
                <a:lnTo>
                  <a:pt x="853548" y="596309"/>
                </a:lnTo>
                <a:lnTo>
                  <a:pt x="853152" y="602267"/>
                </a:lnTo>
                <a:lnTo>
                  <a:pt x="852755" y="607431"/>
                </a:lnTo>
                <a:lnTo>
                  <a:pt x="852755" y="613390"/>
                </a:lnTo>
                <a:lnTo>
                  <a:pt x="853152" y="619349"/>
                </a:lnTo>
                <a:lnTo>
                  <a:pt x="854739" y="642786"/>
                </a:lnTo>
                <a:lnTo>
                  <a:pt x="856723" y="670991"/>
                </a:lnTo>
                <a:lnTo>
                  <a:pt x="857913" y="686087"/>
                </a:lnTo>
                <a:lnTo>
                  <a:pt x="859501" y="700785"/>
                </a:lnTo>
                <a:lnTo>
                  <a:pt x="861485" y="716675"/>
                </a:lnTo>
                <a:lnTo>
                  <a:pt x="863469" y="732167"/>
                </a:lnTo>
                <a:lnTo>
                  <a:pt x="866247" y="748057"/>
                </a:lnTo>
                <a:lnTo>
                  <a:pt x="869818" y="763153"/>
                </a:lnTo>
                <a:lnTo>
                  <a:pt x="873786" y="779043"/>
                </a:lnTo>
                <a:lnTo>
                  <a:pt x="878548" y="793741"/>
                </a:lnTo>
                <a:lnTo>
                  <a:pt x="883706" y="808439"/>
                </a:lnTo>
                <a:lnTo>
                  <a:pt x="886881" y="815589"/>
                </a:lnTo>
                <a:lnTo>
                  <a:pt x="890055" y="822343"/>
                </a:lnTo>
                <a:lnTo>
                  <a:pt x="893230" y="829493"/>
                </a:lnTo>
                <a:lnTo>
                  <a:pt x="896801" y="835849"/>
                </a:lnTo>
                <a:lnTo>
                  <a:pt x="901166" y="842205"/>
                </a:lnTo>
                <a:lnTo>
                  <a:pt x="905134" y="848561"/>
                </a:lnTo>
                <a:lnTo>
                  <a:pt x="909896" y="854520"/>
                </a:lnTo>
                <a:lnTo>
                  <a:pt x="914261" y="860081"/>
                </a:lnTo>
                <a:lnTo>
                  <a:pt x="919420" y="865643"/>
                </a:lnTo>
                <a:lnTo>
                  <a:pt x="924578" y="870807"/>
                </a:lnTo>
                <a:lnTo>
                  <a:pt x="922594" y="885902"/>
                </a:lnTo>
                <a:lnTo>
                  <a:pt x="920213" y="899806"/>
                </a:lnTo>
                <a:lnTo>
                  <a:pt x="917436" y="913312"/>
                </a:lnTo>
                <a:lnTo>
                  <a:pt x="915451" y="920463"/>
                </a:lnTo>
                <a:lnTo>
                  <a:pt x="913467" y="927613"/>
                </a:lnTo>
                <a:lnTo>
                  <a:pt x="911087" y="934367"/>
                </a:lnTo>
                <a:lnTo>
                  <a:pt x="908309" y="941517"/>
                </a:lnTo>
                <a:lnTo>
                  <a:pt x="905134" y="947873"/>
                </a:lnTo>
                <a:lnTo>
                  <a:pt x="901563" y="953037"/>
                </a:lnTo>
                <a:lnTo>
                  <a:pt x="899182" y="955818"/>
                </a:lnTo>
                <a:lnTo>
                  <a:pt x="896801" y="958201"/>
                </a:lnTo>
                <a:lnTo>
                  <a:pt x="894420" y="960188"/>
                </a:lnTo>
                <a:lnTo>
                  <a:pt x="891643" y="961777"/>
                </a:lnTo>
                <a:lnTo>
                  <a:pt x="886087" y="965749"/>
                </a:lnTo>
                <a:lnTo>
                  <a:pt x="880532" y="968530"/>
                </a:lnTo>
                <a:lnTo>
                  <a:pt x="874580" y="971708"/>
                </a:lnTo>
                <a:lnTo>
                  <a:pt x="869024" y="975283"/>
                </a:lnTo>
                <a:lnTo>
                  <a:pt x="866247" y="977269"/>
                </a:lnTo>
                <a:lnTo>
                  <a:pt x="863866" y="979653"/>
                </a:lnTo>
                <a:lnTo>
                  <a:pt x="861881" y="982434"/>
                </a:lnTo>
                <a:lnTo>
                  <a:pt x="859897" y="985612"/>
                </a:lnTo>
                <a:lnTo>
                  <a:pt x="857913" y="990379"/>
                </a:lnTo>
                <a:lnTo>
                  <a:pt x="855929" y="995543"/>
                </a:lnTo>
                <a:lnTo>
                  <a:pt x="854342" y="1000707"/>
                </a:lnTo>
                <a:lnTo>
                  <a:pt x="853152" y="1005871"/>
                </a:lnTo>
                <a:lnTo>
                  <a:pt x="852358" y="1011433"/>
                </a:lnTo>
                <a:lnTo>
                  <a:pt x="851961" y="1016597"/>
                </a:lnTo>
                <a:lnTo>
                  <a:pt x="851167" y="1028514"/>
                </a:lnTo>
                <a:lnTo>
                  <a:pt x="850374" y="1039637"/>
                </a:lnTo>
                <a:lnTo>
                  <a:pt x="849580" y="1051158"/>
                </a:lnTo>
                <a:lnTo>
                  <a:pt x="849183" y="1056719"/>
                </a:lnTo>
                <a:lnTo>
                  <a:pt x="848390" y="1061883"/>
                </a:lnTo>
                <a:lnTo>
                  <a:pt x="847199" y="1067445"/>
                </a:lnTo>
                <a:lnTo>
                  <a:pt x="845612" y="1072212"/>
                </a:lnTo>
                <a:lnTo>
                  <a:pt x="843231" y="1078170"/>
                </a:lnTo>
                <a:lnTo>
                  <a:pt x="841247" y="1082937"/>
                </a:lnTo>
                <a:lnTo>
                  <a:pt x="838469" y="1087307"/>
                </a:lnTo>
                <a:lnTo>
                  <a:pt x="836089" y="1091280"/>
                </a:lnTo>
                <a:lnTo>
                  <a:pt x="830136" y="1098430"/>
                </a:lnTo>
                <a:lnTo>
                  <a:pt x="824581" y="1105183"/>
                </a:lnTo>
                <a:lnTo>
                  <a:pt x="821803" y="1109156"/>
                </a:lnTo>
                <a:lnTo>
                  <a:pt x="819026" y="1112731"/>
                </a:lnTo>
                <a:lnTo>
                  <a:pt x="816248" y="1116703"/>
                </a:lnTo>
                <a:lnTo>
                  <a:pt x="814264" y="1121470"/>
                </a:lnTo>
                <a:lnTo>
                  <a:pt x="812280" y="1126237"/>
                </a:lnTo>
                <a:lnTo>
                  <a:pt x="810692" y="1131799"/>
                </a:lnTo>
                <a:lnTo>
                  <a:pt x="809899" y="1138155"/>
                </a:lnTo>
                <a:lnTo>
                  <a:pt x="809105" y="1145305"/>
                </a:lnTo>
                <a:lnTo>
                  <a:pt x="845612" y="1150470"/>
                </a:lnTo>
                <a:lnTo>
                  <a:pt x="853152" y="1166757"/>
                </a:lnTo>
                <a:lnTo>
                  <a:pt x="811089" y="1183838"/>
                </a:lnTo>
                <a:lnTo>
                  <a:pt x="768233" y="1202112"/>
                </a:lnTo>
                <a:lnTo>
                  <a:pt x="682521" y="1239056"/>
                </a:lnTo>
                <a:lnTo>
                  <a:pt x="624586" y="1263685"/>
                </a:lnTo>
                <a:lnTo>
                  <a:pt x="568635" y="1287917"/>
                </a:lnTo>
                <a:lnTo>
                  <a:pt x="555541" y="1293082"/>
                </a:lnTo>
                <a:lnTo>
                  <a:pt x="542446" y="1297849"/>
                </a:lnTo>
                <a:lnTo>
                  <a:pt x="514669" y="1307780"/>
                </a:lnTo>
                <a:lnTo>
                  <a:pt x="485304" y="1318108"/>
                </a:lnTo>
                <a:lnTo>
                  <a:pt x="470225" y="1323670"/>
                </a:lnTo>
                <a:lnTo>
                  <a:pt x="455146" y="1330026"/>
                </a:lnTo>
                <a:lnTo>
                  <a:pt x="440464" y="1336382"/>
                </a:lnTo>
                <a:lnTo>
                  <a:pt x="425385" y="1343532"/>
                </a:lnTo>
                <a:lnTo>
                  <a:pt x="410703" y="1351080"/>
                </a:lnTo>
                <a:lnTo>
                  <a:pt x="403561" y="1355450"/>
                </a:lnTo>
                <a:lnTo>
                  <a:pt x="396418" y="1360217"/>
                </a:lnTo>
                <a:lnTo>
                  <a:pt x="389275" y="1364983"/>
                </a:lnTo>
                <a:lnTo>
                  <a:pt x="382529" y="1369750"/>
                </a:lnTo>
                <a:lnTo>
                  <a:pt x="376180" y="1374915"/>
                </a:lnTo>
                <a:lnTo>
                  <a:pt x="369038" y="1380079"/>
                </a:lnTo>
                <a:lnTo>
                  <a:pt x="363085" y="1386435"/>
                </a:lnTo>
                <a:lnTo>
                  <a:pt x="356736" y="1391996"/>
                </a:lnTo>
                <a:lnTo>
                  <a:pt x="350784" y="1398352"/>
                </a:lnTo>
                <a:lnTo>
                  <a:pt x="345229" y="1405106"/>
                </a:lnTo>
                <a:lnTo>
                  <a:pt x="339277" y="1411859"/>
                </a:lnTo>
                <a:lnTo>
                  <a:pt x="334118" y="1419406"/>
                </a:lnTo>
                <a:lnTo>
                  <a:pt x="329356" y="1426954"/>
                </a:lnTo>
                <a:lnTo>
                  <a:pt x="324594" y="1434899"/>
                </a:lnTo>
                <a:lnTo>
                  <a:pt x="320229" y="1443241"/>
                </a:lnTo>
                <a:lnTo>
                  <a:pt x="315865" y="1451981"/>
                </a:lnTo>
                <a:lnTo>
                  <a:pt x="311896" y="1461117"/>
                </a:lnTo>
                <a:lnTo>
                  <a:pt x="308325" y="1470651"/>
                </a:lnTo>
                <a:lnTo>
                  <a:pt x="304357" y="1482172"/>
                </a:lnTo>
                <a:lnTo>
                  <a:pt x="304357" y="1494486"/>
                </a:lnTo>
                <a:lnTo>
                  <a:pt x="303960" y="1538581"/>
                </a:lnTo>
                <a:lnTo>
                  <a:pt x="302770" y="1594196"/>
                </a:lnTo>
                <a:lnTo>
                  <a:pt x="301182" y="1649413"/>
                </a:lnTo>
                <a:lnTo>
                  <a:pt x="0" y="1649413"/>
                </a:lnTo>
                <a:lnTo>
                  <a:pt x="0" y="1625975"/>
                </a:lnTo>
                <a:lnTo>
                  <a:pt x="0" y="1599757"/>
                </a:lnTo>
                <a:lnTo>
                  <a:pt x="1190" y="1542951"/>
                </a:lnTo>
                <a:lnTo>
                  <a:pt x="2381" y="1488528"/>
                </a:lnTo>
                <a:lnTo>
                  <a:pt x="2778" y="1465487"/>
                </a:lnTo>
                <a:lnTo>
                  <a:pt x="2778" y="1446817"/>
                </a:lnTo>
                <a:lnTo>
                  <a:pt x="5159" y="1440858"/>
                </a:lnTo>
                <a:lnTo>
                  <a:pt x="7539" y="1435296"/>
                </a:lnTo>
                <a:lnTo>
                  <a:pt x="10317" y="1430132"/>
                </a:lnTo>
                <a:lnTo>
                  <a:pt x="13889" y="1425365"/>
                </a:lnTo>
                <a:lnTo>
                  <a:pt x="17063" y="1420598"/>
                </a:lnTo>
                <a:lnTo>
                  <a:pt x="20634" y="1416228"/>
                </a:lnTo>
                <a:lnTo>
                  <a:pt x="24206" y="1411859"/>
                </a:lnTo>
                <a:lnTo>
                  <a:pt x="28174" y="1407886"/>
                </a:lnTo>
                <a:lnTo>
                  <a:pt x="32142" y="1404311"/>
                </a:lnTo>
                <a:lnTo>
                  <a:pt x="36507" y="1400736"/>
                </a:lnTo>
                <a:lnTo>
                  <a:pt x="41269" y="1397558"/>
                </a:lnTo>
                <a:lnTo>
                  <a:pt x="46031" y="1394380"/>
                </a:lnTo>
                <a:lnTo>
                  <a:pt x="55951" y="1388421"/>
                </a:lnTo>
                <a:lnTo>
                  <a:pt x="66665" y="1382860"/>
                </a:lnTo>
                <a:lnTo>
                  <a:pt x="77379" y="1378093"/>
                </a:lnTo>
                <a:lnTo>
                  <a:pt x="88490" y="1373723"/>
                </a:lnTo>
                <a:lnTo>
                  <a:pt x="111902" y="1365381"/>
                </a:lnTo>
                <a:lnTo>
                  <a:pt x="135711" y="1356641"/>
                </a:lnTo>
                <a:lnTo>
                  <a:pt x="147218" y="1352669"/>
                </a:lnTo>
                <a:lnTo>
                  <a:pt x="158726" y="1347902"/>
                </a:lnTo>
                <a:lnTo>
                  <a:pt x="210312" y="1326053"/>
                </a:lnTo>
                <a:lnTo>
                  <a:pt x="263088" y="1303807"/>
                </a:lnTo>
                <a:lnTo>
                  <a:pt x="315071" y="1281164"/>
                </a:lnTo>
                <a:lnTo>
                  <a:pt x="366260" y="1259713"/>
                </a:lnTo>
                <a:lnTo>
                  <a:pt x="423401" y="1243823"/>
                </a:lnTo>
                <a:lnTo>
                  <a:pt x="428163" y="1240645"/>
                </a:lnTo>
                <a:lnTo>
                  <a:pt x="432131" y="1236672"/>
                </a:lnTo>
                <a:lnTo>
                  <a:pt x="436496" y="1231905"/>
                </a:lnTo>
                <a:lnTo>
                  <a:pt x="440464" y="1226741"/>
                </a:lnTo>
                <a:lnTo>
                  <a:pt x="444432" y="1220782"/>
                </a:lnTo>
                <a:lnTo>
                  <a:pt x="448401" y="1214426"/>
                </a:lnTo>
                <a:lnTo>
                  <a:pt x="456337" y="1201317"/>
                </a:lnTo>
                <a:lnTo>
                  <a:pt x="463480" y="1187016"/>
                </a:lnTo>
                <a:lnTo>
                  <a:pt x="469829" y="1173907"/>
                </a:lnTo>
                <a:lnTo>
                  <a:pt x="480543" y="1150470"/>
                </a:lnTo>
                <a:lnTo>
                  <a:pt x="507526" y="1143716"/>
                </a:lnTo>
                <a:lnTo>
                  <a:pt x="506336" y="1138155"/>
                </a:lnTo>
                <a:lnTo>
                  <a:pt x="504748" y="1132196"/>
                </a:lnTo>
                <a:lnTo>
                  <a:pt x="502764" y="1127429"/>
                </a:lnTo>
                <a:lnTo>
                  <a:pt x="500780" y="1123457"/>
                </a:lnTo>
                <a:lnTo>
                  <a:pt x="498399" y="1119484"/>
                </a:lnTo>
                <a:lnTo>
                  <a:pt x="496018" y="1115909"/>
                </a:lnTo>
                <a:lnTo>
                  <a:pt x="490860" y="1109950"/>
                </a:lnTo>
                <a:lnTo>
                  <a:pt x="485701" y="1103594"/>
                </a:lnTo>
                <a:lnTo>
                  <a:pt x="480146" y="1097636"/>
                </a:lnTo>
                <a:lnTo>
                  <a:pt x="477765" y="1094458"/>
                </a:lnTo>
                <a:lnTo>
                  <a:pt x="475384" y="1091280"/>
                </a:lnTo>
                <a:lnTo>
                  <a:pt x="473400" y="1087307"/>
                </a:lnTo>
                <a:lnTo>
                  <a:pt x="471813" y="1082937"/>
                </a:lnTo>
                <a:lnTo>
                  <a:pt x="461495" y="973694"/>
                </a:lnTo>
                <a:lnTo>
                  <a:pt x="461099" y="974091"/>
                </a:lnTo>
                <a:lnTo>
                  <a:pt x="460305" y="974091"/>
                </a:lnTo>
                <a:lnTo>
                  <a:pt x="457527" y="973694"/>
                </a:lnTo>
                <a:lnTo>
                  <a:pt x="448401" y="972105"/>
                </a:lnTo>
                <a:lnTo>
                  <a:pt x="438877" y="969324"/>
                </a:lnTo>
                <a:lnTo>
                  <a:pt x="435306" y="968133"/>
                </a:lnTo>
                <a:lnTo>
                  <a:pt x="433322" y="967338"/>
                </a:lnTo>
                <a:lnTo>
                  <a:pt x="430147" y="964557"/>
                </a:lnTo>
                <a:lnTo>
                  <a:pt x="426973" y="962174"/>
                </a:lnTo>
                <a:lnTo>
                  <a:pt x="424195" y="958996"/>
                </a:lnTo>
                <a:lnTo>
                  <a:pt x="421417" y="955818"/>
                </a:lnTo>
                <a:lnTo>
                  <a:pt x="419036" y="952243"/>
                </a:lnTo>
                <a:lnTo>
                  <a:pt x="416655" y="948270"/>
                </a:lnTo>
                <a:lnTo>
                  <a:pt x="414671" y="944298"/>
                </a:lnTo>
                <a:lnTo>
                  <a:pt x="412687" y="939928"/>
                </a:lnTo>
                <a:lnTo>
                  <a:pt x="409116" y="929997"/>
                </a:lnTo>
                <a:lnTo>
                  <a:pt x="406338" y="920066"/>
                </a:lnTo>
                <a:lnTo>
                  <a:pt x="403957" y="908943"/>
                </a:lnTo>
                <a:lnTo>
                  <a:pt x="401576" y="898217"/>
                </a:lnTo>
                <a:lnTo>
                  <a:pt x="399989" y="887094"/>
                </a:lnTo>
                <a:lnTo>
                  <a:pt x="398402" y="875574"/>
                </a:lnTo>
                <a:lnTo>
                  <a:pt x="396418" y="854122"/>
                </a:lnTo>
                <a:lnTo>
                  <a:pt x="394831" y="834260"/>
                </a:lnTo>
                <a:lnTo>
                  <a:pt x="393640" y="817576"/>
                </a:lnTo>
                <a:lnTo>
                  <a:pt x="393640" y="814795"/>
                </a:lnTo>
                <a:lnTo>
                  <a:pt x="394037" y="811617"/>
                </a:lnTo>
                <a:lnTo>
                  <a:pt x="395227" y="808439"/>
                </a:lnTo>
                <a:lnTo>
                  <a:pt x="396418" y="805261"/>
                </a:lnTo>
                <a:lnTo>
                  <a:pt x="399989" y="798905"/>
                </a:lnTo>
                <a:lnTo>
                  <a:pt x="403561" y="791755"/>
                </a:lnTo>
                <a:lnTo>
                  <a:pt x="407132" y="784604"/>
                </a:lnTo>
                <a:lnTo>
                  <a:pt x="408322" y="780234"/>
                </a:lnTo>
                <a:lnTo>
                  <a:pt x="409513" y="776262"/>
                </a:lnTo>
                <a:lnTo>
                  <a:pt x="410306" y="771495"/>
                </a:lnTo>
                <a:lnTo>
                  <a:pt x="410703" y="766331"/>
                </a:lnTo>
                <a:lnTo>
                  <a:pt x="410306" y="761166"/>
                </a:lnTo>
                <a:lnTo>
                  <a:pt x="409513" y="755605"/>
                </a:lnTo>
                <a:lnTo>
                  <a:pt x="406338" y="738126"/>
                </a:lnTo>
                <a:lnTo>
                  <a:pt x="403561" y="721839"/>
                </a:lnTo>
                <a:lnTo>
                  <a:pt x="401180" y="705552"/>
                </a:lnTo>
                <a:lnTo>
                  <a:pt x="399196" y="689662"/>
                </a:lnTo>
                <a:lnTo>
                  <a:pt x="397608" y="673772"/>
                </a:lnTo>
                <a:lnTo>
                  <a:pt x="397211" y="659074"/>
                </a:lnTo>
                <a:lnTo>
                  <a:pt x="396815" y="643978"/>
                </a:lnTo>
                <a:lnTo>
                  <a:pt x="396815" y="629677"/>
                </a:lnTo>
                <a:lnTo>
                  <a:pt x="397608" y="615774"/>
                </a:lnTo>
                <a:lnTo>
                  <a:pt x="398799" y="602267"/>
                </a:lnTo>
                <a:lnTo>
                  <a:pt x="400386" y="588761"/>
                </a:lnTo>
                <a:lnTo>
                  <a:pt x="402370" y="576446"/>
                </a:lnTo>
                <a:lnTo>
                  <a:pt x="404751" y="563734"/>
                </a:lnTo>
                <a:lnTo>
                  <a:pt x="407529" y="552214"/>
                </a:lnTo>
                <a:lnTo>
                  <a:pt x="410703" y="540297"/>
                </a:lnTo>
                <a:lnTo>
                  <a:pt x="414275" y="529571"/>
                </a:lnTo>
                <a:lnTo>
                  <a:pt x="418243" y="519242"/>
                </a:lnTo>
                <a:lnTo>
                  <a:pt x="422211" y="508914"/>
                </a:lnTo>
                <a:lnTo>
                  <a:pt x="426973" y="499380"/>
                </a:lnTo>
                <a:lnTo>
                  <a:pt x="432131" y="490243"/>
                </a:lnTo>
                <a:lnTo>
                  <a:pt x="437290" y="481504"/>
                </a:lnTo>
                <a:lnTo>
                  <a:pt x="442845" y="473162"/>
                </a:lnTo>
                <a:lnTo>
                  <a:pt x="448797" y="465614"/>
                </a:lnTo>
                <a:lnTo>
                  <a:pt x="454750" y="458066"/>
                </a:lnTo>
                <a:lnTo>
                  <a:pt x="461495" y="451710"/>
                </a:lnTo>
                <a:lnTo>
                  <a:pt x="468241" y="445752"/>
                </a:lnTo>
                <a:lnTo>
                  <a:pt x="474987" y="440190"/>
                </a:lnTo>
                <a:lnTo>
                  <a:pt x="482130" y="435026"/>
                </a:lnTo>
                <a:lnTo>
                  <a:pt x="490066" y="429862"/>
                </a:lnTo>
                <a:lnTo>
                  <a:pt x="497606" y="425889"/>
                </a:lnTo>
                <a:lnTo>
                  <a:pt x="505542" y="422711"/>
                </a:lnTo>
                <a:lnTo>
                  <a:pt x="513875" y="419533"/>
                </a:lnTo>
                <a:lnTo>
                  <a:pt x="538478" y="409999"/>
                </a:lnTo>
                <a:lnTo>
                  <a:pt x="553160" y="404438"/>
                </a:lnTo>
                <a:lnTo>
                  <a:pt x="568239" y="399273"/>
                </a:lnTo>
                <a:lnTo>
                  <a:pt x="584111" y="394506"/>
                </a:lnTo>
                <a:lnTo>
                  <a:pt x="601174" y="390137"/>
                </a:lnTo>
                <a:lnTo>
                  <a:pt x="618634" y="386562"/>
                </a:lnTo>
                <a:lnTo>
                  <a:pt x="627761" y="384973"/>
                </a:lnTo>
                <a:lnTo>
                  <a:pt x="636888" y="383384"/>
                </a:lnTo>
                <a:lnTo>
                  <a:pt x="646014" y="382589"/>
                </a:lnTo>
                <a:lnTo>
                  <a:pt x="655538" y="381795"/>
                </a:lnTo>
                <a:lnTo>
                  <a:pt x="665061" y="381397"/>
                </a:lnTo>
                <a:lnTo>
                  <a:pt x="674585" y="381000"/>
                </a:lnTo>
                <a:close/>
                <a:moveTo>
                  <a:pt x="1307704" y="0"/>
                </a:moveTo>
                <a:lnTo>
                  <a:pt x="1321601" y="0"/>
                </a:lnTo>
                <a:lnTo>
                  <a:pt x="1335100" y="0"/>
                </a:lnTo>
                <a:lnTo>
                  <a:pt x="1348997" y="1191"/>
                </a:lnTo>
                <a:lnTo>
                  <a:pt x="1362496" y="2381"/>
                </a:lnTo>
                <a:lnTo>
                  <a:pt x="1376790" y="4366"/>
                </a:lnTo>
                <a:lnTo>
                  <a:pt x="1390289" y="7144"/>
                </a:lnTo>
                <a:lnTo>
                  <a:pt x="1404583" y="10319"/>
                </a:lnTo>
                <a:lnTo>
                  <a:pt x="1418480" y="14684"/>
                </a:lnTo>
                <a:lnTo>
                  <a:pt x="1432773" y="19447"/>
                </a:lnTo>
                <a:lnTo>
                  <a:pt x="1446670" y="25003"/>
                </a:lnTo>
                <a:lnTo>
                  <a:pt x="1460566" y="31353"/>
                </a:lnTo>
                <a:lnTo>
                  <a:pt x="1474463" y="38497"/>
                </a:lnTo>
                <a:lnTo>
                  <a:pt x="1488757" y="46831"/>
                </a:lnTo>
                <a:lnTo>
                  <a:pt x="1525285" y="80963"/>
                </a:lnTo>
                <a:lnTo>
                  <a:pt x="1584841" y="90884"/>
                </a:lnTo>
                <a:lnTo>
                  <a:pt x="1590400" y="94853"/>
                </a:lnTo>
                <a:lnTo>
                  <a:pt x="1595958" y="99616"/>
                </a:lnTo>
                <a:lnTo>
                  <a:pt x="1600723" y="104775"/>
                </a:lnTo>
                <a:lnTo>
                  <a:pt x="1605487" y="110331"/>
                </a:lnTo>
                <a:lnTo>
                  <a:pt x="1609855" y="115888"/>
                </a:lnTo>
                <a:lnTo>
                  <a:pt x="1613825" y="122238"/>
                </a:lnTo>
                <a:lnTo>
                  <a:pt x="1617399" y="128984"/>
                </a:lnTo>
                <a:lnTo>
                  <a:pt x="1620575" y="134938"/>
                </a:lnTo>
                <a:lnTo>
                  <a:pt x="1626531" y="146447"/>
                </a:lnTo>
                <a:lnTo>
                  <a:pt x="1630898" y="156766"/>
                </a:lnTo>
                <a:lnTo>
                  <a:pt x="1634075" y="165894"/>
                </a:lnTo>
                <a:lnTo>
                  <a:pt x="1636854" y="177403"/>
                </a:lnTo>
                <a:lnTo>
                  <a:pt x="1639236" y="189309"/>
                </a:lnTo>
                <a:lnTo>
                  <a:pt x="1641619" y="200819"/>
                </a:lnTo>
                <a:lnTo>
                  <a:pt x="1643207" y="212725"/>
                </a:lnTo>
                <a:lnTo>
                  <a:pt x="1644795" y="223838"/>
                </a:lnTo>
                <a:lnTo>
                  <a:pt x="1646383" y="235347"/>
                </a:lnTo>
                <a:lnTo>
                  <a:pt x="1648368" y="258366"/>
                </a:lnTo>
                <a:lnTo>
                  <a:pt x="1649559" y="281781"/>
                </a:lnTo>
                <a:lnTo>
                  <a:pt x="1649957" y="304800"/>
                </a:lnTo>
                <a:lnTo>
                  <a:pt x="1649957" y="328613"/>
                </a:lnTo>
                <a:lnTo>
                  <a:pt x="1649559" y="352822"/>
                </a:lnTo>
                <a:lnTo>
                  <a:pt x="1648765" y="365919"/>
                </a:lnTo>
                <a:lnTo>
                  <a:pt x="1647177" y="385763"/>
                </a:lnTo>
                <a:lnTo>
                  <a:pt x="1642413" y="436959"/>
                </a:lnTo>
                <a:lnTo>
                  <a:pt x="1640427" y="464344"/>
                </a:lnTo>
                <a:lnTo>
                  <a:pt x="1638839" y="490141"/>
                </a:lnTo>
                <a:lnTo>
                  <a:pt x="1638442" y="501650"/>
                </a:lnTo>
                <a:lnTo>
                  <a:pt x="1638045" y="511969"/>
                </a:lnTo>
                <a:lnTo>
                  <a:pt x="1638442" y="521494"/>
                </a:lnTo>
                <a:lnTo>
                  <a:pt x="1638839" y="529034"/>
                </a:lnTo>
                <a:lnTo>
                  <a:pt x="1640030" y="538559"/>
                </a:lnTo>
                <a:lnTo>
                  <a:pt x="1642016" y="546497"/>
                </a:lnTo>
                <a:lnTo>
                  <a:pt x="1644001" y="553244"/>
                </a:lnTo>
                <a:lnTo>
                  <a:pt x="1646780" y="558800"/>
                </a:lnTo>
                <a:lnTo>
                  <a:pt x="1649559" y="563959"/>
                </a:lnTo>
                <a:lnTo>
                  <a:pt x="1653133" y="569516"/>
                </a:lnTo>
                <a:lnTo>
                  <a:pt x="1656706" y="576659"/>
                </a:lnTo>
                <a:lnTo>
                  <a:pt x="1661074" y="584597"/>
                </a:lnTo>
                <a:lnTo>
                  <a:pt x="1664250" y="592534"/>
                </a:lnTo>
                <a:lnTo>
                  <a:pt x="1667029" y="600869"/>
                </a:lnTo>
                <a:lnTo>
                  <a:pt x="1669412" y="609600"/>
                </a:lnTo>
                <a:lnTo>
                  <a:pt x="1671397" y="618331"/>
                </a:lnTo>
                <a:lnTo>
                  <a:pt x="1672588" y="627459"/>
                </a:lnTo>
                <a:lnTo>
                  <a:pt x="1673382" y="636984"/>
                </a:lnTo>
                <a:lnTo>
                  <a:pt x="1673779" y="646113"/>
                </a:lnTo>
                <a:lnTo>
                  <a:pt x="1674176" y="655241"/>
                </a:lnTo>
                <a:lnTo>
                  <a:pt x="1673779" y="665163"/>
                </a:lnTo>
                <a:lnTo>
                  <a:pt x="1673382" y="674291"/>
                </a:lnTo>
                <a:lnTo>
                  <a:pt x="1671794" y="692547"/>
                </a:lnTo>
                <a:lnTo>
                  <a:pt x="1669412" y="710009"/>
                </a:lnTo>
                <a:lnTo>
                  <a:pt x="1666632" y="726678"/>
                </a:lnTo>
                <a:lnTo>
                  <a:pt x="1664647" y="735806"/>
                </a:lnTo>
                <a:lnTo>
                  <a:pt x="1662662" y="745728"/>
                </a:lnTo>
                <a:lnTo>
                  <a:pt x="1659883" y="755650"/>
                </a:lnTo>
                <a:lnTo>
                  <a:pt x="1656706" y="765572"/>
                </a:lnTo>
                <a:lnTo>
                  <a:pt x="1653133" y="775891"/>
                </a:lnTo>
                <a:lnTo>
                  <a:pt x="1649162" y="785416"/>
                </a:lnTo>
                <a:lnTo>
                  <a:pt x="1644795" y="793750"/>
                </a:lnTo>
                <a:lnTo>
                  <a:pt x="1642413" y="798116"/>
                </a:lnTo>
                <a:lnTo>
                  <a:pt x="1639633" y="802084"/>
                </a:lnTo>
                <a:lnTo>
                  <a:pt x="1636854" y="805656"/>
                </a:lnTo>
                <a:lnTo>
                  <a:pt x="1633678" y="808831"/>
                </a:lnTo>
                <a:lnTo>
                  <a:pt x="1630104" y="811609"/>
                </a:lnTo>
                <a:lnTo>
                  <a:pt x="1626531" y="814388"/>
                </a:lnTo>
                <a:lnTo>
                  <a:pt x="1618193" y="818753"/>
                </a:lnTo>
                <a:lnTo>
                  <a:pt x="1610252" y="823119"/>
                </a:lnTo>
                <a:lnTo>
                  <a:pt x="1602311" y="827881"/>
                </a:lnTo>
                <a:lnTo>
                  <a:pt x="1598341" y="830263"/>
                </a:lnTo>
                <a:lnTo>
                  <a:pt x="1593973" y="832644"/>
                </a:lnTo>
                <a:lnTo>
                  <a:pt x="1590797" y="835819"/>
                </a:lnTo>
                <a:lnTo>
                  <a:pt x="1587223" y="838994"/>
                </a:lnTo>
                <a:lnTo>
                  <a:pt x="1584444" y="842963"/>
                </a:lnTo>
                <a:lnTo>
                  <a:pt x="1581665" y="846931"/>
                </a:lnTo>
                <a:lnTo>
                  <a:pt x="1578489" y="854075"/>
                </a:lnTo>
                <a:lnTo>
                  <a:pt x="1576106" y="860822"/>
                </a:lnTo>
                <a:lnTo>
                  <a:pt x="1574121" y="867966"/>
                </a:lnTo>
                <a:lnTo>
                  <a:pt x="1572533" y="875506"/>
                </a:lnTo>
                <a:lnTo>
                  <a:pt x="1571342" y="883444"/>
                </a:lnTo>
                <a:lnTo>
                  <a:pt x="1570151" y="890984"/>
                </a:lnTo>
                <a:lnTo>
                  <a:pt x="1568959" y="906859"/>
                </a:lnTo>
                <a:lnTo>
                  <a:pt x="1568165" y="923131"/>
                </a:lnTo>
                <a:lnTo>
                  <a:pt x="1566974" y="939006"/>
                </a:lnTo>
                <a:lnTo>
                  <a:pt x="1565783" y="946944"/>
                </a:lnTo>
                <a:lnTo>
                  <a:pt x="1564989" y="954484"/>
                </a:lnTo>
                <a:lnTo>
                  <a:pt x="1563401" y="961628"/>
                </a:lnTo>
                <a:lnTo>
                  <a:pt x="1561415" y="969169"/>
                </a:lnTo>
                <a:lnTo>
                  <a:pt x="1558636" y="976709"/>
                </a:lnTo>
                <a:lnTo>
                  <a:pt x="1555460" y="983456"/>
                </a:lnTo>
                <a:lnTo>
                  <a:pt x="1551887" y="989409"/>
                </a:lnTo>
                <a:lnTo>
                  <a:pt x="1548313" y="995363"/>
                </a:lnTo>
                <a:lnTo>
                  <a:pt x="1544343" y="1000522"/>
                </a:lnTo>
                <a:lnTo>
                  <a:pt x="1539578" y="1005284"/>
                </a:lnTo>
                <a:lnTo>
                  <a:pt x="1531637" y="1014809"/>
                </a:lnTo>
                <a:lnTo>
                  <a:pt x="1527667" y="1019969"/>
                </a:lnTo>
                <a:lnTo>
                  <a:pt x="1524093" y="1025525"/>
                </a:lnTo>
                <a:lnTo>
                  <a:pt x="1520520" y="1031081"/>
                </a:lnTo>
                <a:lnTo>
                  <a:pt x="1517741" y="1037431"/>
                </a:lnTo>
                <a:lnTo>
                  <a:pt x="1514961" y="1044178"/>
                </a:lnTo>
                <a:lnTo>
                  <a:pt x="1512976" y="1052513"/>
                </a:lnTo>
                <a:lnTo>
                  <a:pt x="1510991" y="1061244"/>
                </a:lnTo>
                <a:lnTo>
                  <a:pt x="1510197" y="1070769"/>
                </a:lnTo>
                <a:lnTo>
                  <a:pt x="1561415" y="1078309"/>
                </a:lnTo>
                <a:lnTo>
                  <a:pt x="1576900" y="1111250"/>
                </a:lnTo>
                <a:lnTo>
                  <a:pt x="1585635" y="1129903"/>
                </a:lnTo>
                <a:lnTo>
                  <a:pt x="1596355" y="1149350"/>
                </a:lnTo>
                <a:lnTo>
                  <a:pt x="1601517" y="1158478"/>
                </a:lnTo>
                <a:lnTo>
                  <a:pt x="1606679" y="1168003"/>
                </a:lnTo>
                <a:lnTo>
                  <a:pt x="1612237" y="1176734"/>
                </a:lnTo>
                <a:lnTo>
                  <a:pt x="1617796" y="1184672"/>
                </a:lnTo>
                <a:lnTo>
                  <a:pt x="1624149" y="1192609"/>
                </a:lnTo>
                <a:lnTo>
                  <a:pt x="1629707" y="1198959"/>
                </a:lnTo>
                <a:lnTo>
                  <a:pt x="1635663" y="1204516"/>
                </a:lnTo>
                <a:lnTo>
                  <a:pt x="1641619" y="1209278"/>
                </a:lnTo>
                <a:lnTo>
                  <a:pt x="1721821" y="1231106"/>
                </a:lnTo>
                <a:lnTo>
                  <a:pt x="1793687" y="1261269"/>
                </a:lnTo>
                <a:lnTo>
                  <a:pt x="1867537" y="1292622"/>
                </a:lnTo>
                <a:lnTo>
                  <a:pt x="1941387" y="1324372"/>
                </a:lnTo>
                <a:lnTo>
                  <a:pt x="2013649" y="1354931"/>
                </a:lnTo>
                <a:lnTo>
                  <a:pt x="2029531" y="1361678"/>
                </a:lnTo>
                <a:lnTo>
                  <a:pt x="2046207" y="1367631"/>
                </a:lnTo>
                <a:lnTo>
                  <a:pt x="2079161" y="1379141"/>
                </a:lnTo>
                <a:lnTo>
                  <a:pt x="2095440" y="1385094"/>
                </a:lnTo>
                <a:lnTo>
                  <a:pt x="2112116" y="1391444"/>
                </a:lnTo>
                <a:lnTo>
                  <a:pt x="2127998" y="1397397"/>
                </a:lnTo>
                <a:lnTo>
                  <a:pt x="2143085" y="1404144"/>
                </a:lnTo>
                <a:lnTo>
                  <a:pt x="2150232" y="1407716"/>
                </a:lnTo>
                <a:lnTo>
                  <a:pt x="2157776" y="1411684"/>
                </a:lnTo>
                <a:lnTo>
                  <a:pt x="2164923" y="1416050"/>
                </a:lnTo>
                <a:lnTo>
                  <a:pt x="2171673" y="1420019"/>
                </a:lnTo>
                <a:lnTo>
                  <a:pt x="2178423" y="1424384"/>
                </a:lnTo>
                <a:lnTo>
                  <a:pt x="2184775" y="1429147"/>
                </a:lnTo>
                <a:lnTo>
                  <a:pt x="2191128" y="1433909"/>
                </a:lnTo>
                <a:lnTo>
                  <a:pt x="2196687" y="1439069"/>
                </a:lnTo>
                <a:lnTo>
                  <a:pt x="2202245" y="1445022"/>
                </a:lnTo>
                <a:lnTo>
                  <a:pt x="2207804" y="1450578"/>
                </a:lnTo>
                <a:lnTo>
                  <a:pt x="2212965" y="1456928"/>
                </a:lnTo>
                <a:lnTo>
                  <a:pt x="2217333" y="1463278"/>
                </a:lnTo>
                <a:lnTo>
                  <a:pt x="2221700" y="1470422"/>
                </a:lnTo>
                <a:lnTo>
                  <a:pt x="2225274" y="1477566"/>
                </a:lnTo>
                <a:lnTo>
                  <a:pt x="2228847" y="1485503"/>
                </a:lnTo>
                <a:lnTo>
                  <a:pt x="2232023" y="1493441"/>
                </a:lnTo>
                <a:lnTo>
                  <a:pt x="2232023" y="1519634"/>
                </a:lnTo>
                <a:lnTo>
                  <a:pt x="2232817" y="1552178"/>
                </a:lnTo>
                <a:lnTo>
                  <a:pt x="2234406" y="1628378"/>
                </a:lnTo>
                <a:lnTo>
                  <a:pt x="2235597" y="1668859"/>
                </a:lnTo>
                <a:lnTo>
                  <a:pt x="2236391" y="1708150"/>
                </a:lnTo>
                <a:lnTo>
                  <a:pt x="2236788" y="1745059"/>
                </a:lnTo>
                <a:lnTo>
                  <a:pt x="2236391" y="1778000"/>
                </a:lnTo>
                <a:lnTo>
                  <a:pt x="374650" y="1778000"/>
                </a:lnTo>
                <a:lnTo>
                  <a:pt x="374650" y="1745059"/>
                </a:lnTo>
                <a:lnTo>
                  <a:pt x="374650" y="1708150"/>
                </a:lnTo>
                <a:lnTo>
                  <a:pt x="375444" y="1668859"/>
                </a:lnTo>
                <a:lnTo>
                  <a:pt x="376238" y="1628378"/>
                </a:lnTo>
                <a:lnTo>
                  <a:pt x="377826" y="1552178"/>
                </a:lnTo>
                <a:lnTo>
                  <a:pt x="378620" y="1519634"/>
                </a:lnTo>
                <a:lnTo>
                  <a:pt x="379017" y="1493441"/>
                </a:lnTo>
                <a:lnTo>
                  <a:pt x="381797" y="1485503"/>
                </a:lnTo>
                <a:lnTo>
                  <a:pt x="385370" y="1477566"/>
                </a:lnTo>
                <a:lnTo>
                  <a:pt x="389341" y="1470422"/>
                </a:lnTo>
                <a:lnTo>
                  <a:pt x="393311" y="1463278"/>
                </a:lnTo>
                <a:lnTo>
                  <a:pt x="398076" y="1456928"/>
                </a:lnTo>
                <a:lnTo>
                  <a:pt x="403237" y="1450578"/>
                </a:lnTo>
                <a:lnTo>
                  <a:pt x="408399" y="1445022"/>
                </a:lnTo>
                <a:lnTo>
                  <a:pt x="413957" y="1439069"/>
                </a:lnTo>
                <a:lnTo>
                  <a:pt x="419516" y="1433909"/>
                </a:lnTo>
                <a:lnTo>
                  <a:pt x="425869" y="1429147"/>
                </a:lnTo>
                <a:lnTo>
                  <a:pt x="432618" y="1424384"/>
                </a:lnTo>
                <a:lnTo>
                  <a:pt x="438971" y="1420019"/>
                </a:lnTo>
                <a:lnTo>
                  <a:pt x="445721" y="1416050"/>
                </a:lnTo>
                <a:lnTo>
                  <a:pt x="452868" y="1411684"/>
                </a:lnTo>
                <a:lnTo>
                  <a:pt x="460412" y="1407716"/>
                </a:lnTo>
                <a:lnTo>
                  <a:pt x="467558" y="1404144"/>
                </a:lnTo>
                <a:lnTo>
                  <a:pt x="482646" y="1397397"/>
                </a:lnTo>
                <a:lnTo>
                  <a:pt x="498925" y="1391444"/>
                </a:lnTo>
                <a:lnTo>
                  <a:pt x="515204" y="1385094"/>
                </a:lnTo>
                <a:lnTo>
                  <a:pt x="531483" y="1379141"/>
                </a:lnTo>
                <a:lnTo>
                  <a:pt x="564437" y="1367631"/>
                </a:lnTo>
                <a:lnTo>
                  <a:pt x="581113" y="1361678"/>
                </a:lnTo>
                <a:lnTo>
                  <a:pt x="597392" y="1354931"/>
                </a:lnTo>
                <a:lnTo>
                  <a:pt x="669257" y="1324372"/>
                </a:lnTo>
                <a:lnTo>
                  <a:pt x="743504" y="1292622"/>
                </a:lnTo>
                <a:lnTo>
                  <a:pt x="817354" y="1261269"/>
                </a:lnTo>
                <a:lnTo>
                  <a:pt x="888822" y="1231106"/>
                </a:lnTo>
                <a:lnTo>
                  <a:pt x="969025" y="1209278"/>
                </a:lnTo>
                <a:lnTo>
                  <a:pt x="974981" y="1204516"/>
                </a:lnTo>
                <a:lnTo>
                  <a:pt x="980937" y="1198959"/>
                </a:lnTo>
                <a:lnTo>
                  <a:pt x="986892" y="1192609"/>
                </a:lnTo>
                <a:lnTo>
                  <a:pt x="992848" y="1184672"/>
                </a:lnTo>
                <a:lnTo>
                  <a:pt x="998407" y="1176734"/>
                </a:lnTo>
                <a:lnTo>
                  <a:pt x="1003965" y="1168003"/>
                </a:lnTo>
                <a:lnTo>
                  <a:pt x="1009524" y="1158478"/>
                </a:lnTo>
                <a:lnTo>
                  <a:pt x="1015083" y="1149350"/>
                </a:lnTo>
                <a:lnTo>
                  <a:pt x="1025009" y="1129903"/>
                </a:lnTo>
                <a:lnTo>
                  <a:pt x="1034141" y="1111250"/>
                </a:lnTo>
                <a:lnTo>
                  <a:pt x="1049228" y="1078309"/>
                </a:lnTo>
                <a:lnTo>
                  <a:pt x="1087345" y="1068784"/>
                </a:lnTo>
                <a:lnTo>
                  <a:pt x="1085359" y="1060450"/>
                </a:lnTo>
                <a:lnTo>
                  <a:pt x="1082977" y="1053306"/>
                </a:lnTo>
                <a:lnTo>
                  <a:pt x="1080595" y="1046163"/>
                </a:lnTo>
                <a:lnTo>
                  <a:pt x="1077419" y="1040209"/>
                </a:lnTo>
                <a:lnTo>
                  <a:pt x="1074242" y="1034653"/>
                </a:lnTo>
                <a:lnTo>
                  <a:pt x="1071066" y="1029891"/>
                </a:lnTo>
                <a:lnTo>
                  <a:pt x="1067492" y="1025525"/>
                </a:lnTo>
                <a:lnTo>
                  <a:pt x="1063125" y="1020763"/>
                </a:lnTo>
                <a:lnTo>
                  <a:pt x="1055978" y="1012825"/>
                </a:lnTo>
                <a:lnTo>
                  <a:pt x="1048434" y="1004491"/>
                </a:lnTo>
                <a:lnTo>
                  <a:pt x="1045258" y="1000125"/>
                </a:lnTo>
                <a:lnTo>
                  <a:pt x="1042082" y="995363"/>
                </a:lnTo>
                <a:lnTo>
                  <a:pt x="1038905" y="989409"/>
                </a:lnTo>
                <a:lnTo>
                  <a:pt x="1036523" y="983456"/>
                </a:lnTo>
                <a:lnTo>
                  <a:pt x="1022229" y="830659"/>
                </a:lnTo>
                <a:lnTo>
                  <a:pt x="1021832" y="831056"/>
                </a:lnTo>
                <a:lnTo>
                  <a:pt x="1020641" y="831056"/>
                </a:lnTo>
                <a:lnTo>
                  <a:pt x="1016671" y="830659"/>
                </a:lnTo>
                <a:lnTo>
                  <a:pt x="1010715" y="829469"/>
                </a:lnTo>
                <a:lnTo>
                  <a:pt x="1003965" y="828278"/>
                </a:lnTo>
                <a:lnTo>
                  <a:pt x="990863" y="824309"/>
                </a:lnTo>
                <a:lnTo>
                  <a:pt x="985701" y="822325"/>
                </a:lnTo>
                <a:lnTo>
                  <a:pt x="982525" y="821134"/>
                </a:lnTo>
                <a:lnTo>
                  <a:pt x="978157" y="817959"/>
                </a:lnTo>
                <a:lnTo>
                  <a:pt x="973790" y="814388"/>
                </a:lnTo>
                <a:lnTo>
                  <a:pt x="969819" y="810419"/>
                </a:lnTo>
                <a:lnTo>
                  <a:pt x="966246" y="805656"/>
                </a:lnTo>
                <a:lnTo>
                  <a:pt x="962673" y="800497"/>
                </a:lnTo>
                <a:lnTo>
                  <a:pt x="959496" y="794941"/>
                </a:lnTo>
                <a:lnTo>
                  <a:pt x="956717" y="788988"/>
                </a:lnTo>
                <a:lnTo>
                  <a:pt x="953541" y="783034"/>
                </a:lnTo>
                <a:lnTo>
                  <a:pt x="951158" y="776684"/>
                </a:lnTo>
                <a:lnTo>
                  <a:pt x="948776" y="769541"/>
                </a:lnTo>
                <a:lnTo>
                  <a:pt x="944409" y="755253"/>
                </a:lnTo>
                <a:lnTo>
                  <a:pt x="941232" y="740172"/>
                </a:lnTo>
                <a:lnTo>
                  <a:pt x="938056" y="724694"/>
                </a:lnTo>
                <a:lnTo>
                  <a:pt x="935674" y="708819"/>
                </a:lnTo>
                <a:lnTo>
                  <a:pt x="934085" y="693341"/>
                </a:lnTo>
                <a:lnTo>
                  <a:pt x="932497" y="677466"/>
                </a:lnTo>
                <a:lnTo>
                  <a:pt x="931306" y="662781"/>
                </a:lnTo>
                <a:lnTo>
                  <a:pt x="929321" y="635000"/>
                </a:lnTo>
                <a:lnTo>
                  <a:pt x="926939" y="611981"/>
                </a:lnTo>
                <a:lnTo>
                  <a:pt x="926939" y="607616"/>
                </a:lnTo>
                <a:lnTo>
                  <a:pt x="927733" y="603250"/>
                </a:lnTo>
                <a:lnTo>
                  <a:pt x="929321" y="598884"/>
                </a:lnTo>
                <a:lnTo>
                  <a:pt x="931306" y="594519"/>
                </a:lnTo>
                <a:lnTo>
                  <a:pt x="935674" y="585391"/>
                </a:lnTo>
                <a:lnTo>
                  <a:pt x="940835" y="575866"/>
                </a:lnTo>
                <a:lnTo>
                  <a:pt x="943217" y="570706"/>
                </a:lnTo>
                <a:lnTo>
                  <a:pt x="945600" y="565150"/>
                </a:lnTo>
                <a:lnTo>
                  <a:pt x="947585" y="559594"/>
                </a:lnTo>
                <a:lnTo>
                  <a:pt x="949173" y="553641"/>
                </a:lnTo>
                <a:lnTo>
                  <a:pt x="950364" y="547291"/>
                </a:lnTo>
                <a:lnTo>
                  <a:pt x="950761" y="539750"/>
                </a:lnTo>
                <a:lnTo>
                  <a:pt x="950364" y="532606"/>
                </a:lnTo>
                <a:lnTo>
                  <a:pt x="949173" y="524669"/>
                </a:lnTo>
                <a:lnTo>
                  <a:pt x="944409" y="500856"/>
                </a:lnTo>
                <a:lnTo>
                  <a:pt x="940438" y="477441"/>
                </a:lnTo>
                <a:lnTo>
                  <a:pt x="937262" y="454422"/>
                </a:lnTo>
                <a:lnTo>
                  <a:pt x="934880" y="432197"/>
                </a:lnTo>
                <a:lnTo>
                  <a:pt x="933291" y="410766"/>
                </a:lnTo>
                <a:lnTo>
                  <a:pt x="932100" y="389334"/>
                </a:lnTo>
                <a:lnTo>
                  <a:pt x="931703" y="368300"/>
                </a:lnTo>
                <a:lnTo>
                  <a:pt x="932100" y="348059"/>
                </a:lnTo>
                <a:lnTo>
                  <a:pt x="932894" y="328613"/>
                </a:lnTo>
                <a:lnTo>
                  <a:pt x="934483" y="309563"/>
                </a:lnTo>
                <a:lnTo>
                  <a:pt x="936468" y="290909"/>
                </a:lnTo>
                <a:lnTo>
                  <a:pt x="939247" y="273447"/>
                </a:lnTo>
                <a:lnTo>
                  <a:pt x="942423" y="255984"/>
                </a:lnTo>
                <a:lnTo>
                  <a:pt x="946394" y="239713"/>
                </a:lnTo>
                <a:lnTo>
                  <a:pt x="950761" y="223441"/>
                </a:lnTo>
                <a:lnTo>
                  <a:pt x="956320" y="207566"/>
                </a:lnTo>
                <a:lnTo>
                  <a:pt x="961482" y="193278"/>
                </a:lnTo>
                <a:lnTo>
                  <a:pt x="967437" y="178991"/>
                </a:lnTo>
                <a:lnTo>
                  <a:pt x="973790" y="165497"/>
                </a:lnTo>
                <a:lnTo>
                  <a:pt x="980937" y="152400"/>
                </a:lnTo>
                <a:lnTo>
                  <a:pt x="988481" y="140494"/>
                </a:lnTo>
                <a:lnTo>
                  <a:pt x="996421" y="129381"/>
                </a:lnTo>
                <a:lnTo>
                  <a:pt x="1004362" y="118269"/>
                </a:lnTo>
                <a:lnTo>
                  <a:pt x="1013494" y="108347"/>
                </a:lnTo>
                <a:lnTo>
                  <a:pt x="1022229" y="99219"/>
                </a:lnTo>
                <a:lnTo>
                  <a:pt x="1031758" y="90091"/>
                </a:lnTo>
                <a:lnTo>
                  <a:pt x="1041685" y="82550"/>
                </a:lnTo>
                <a:lnTo>
                  <a:pt x="1051611" y="75406"/>
                </a:lnTo>
                <a:lnTo>
                  <a:pt x="1061934" y="68659"/>
                </a:lnTo>
                <a:lnTo>
                  <a:pt x="1073051" y="63103"/>
                </a:lnTo>
                <a:lnTo>
                  <a:pt x="1084168" y="58341"/>
                </a:lnTo>
                <a:lnTo>
                  <a:pt x="1095683" y="53975"/>
                </a:lnTo>
                <a:lnTo>
                  <a:pt x="1112358" y="47228"/>
                </a:lnTo>
                <a:lnTo>
                  <a:pt x="1131019" y="40084"/>
                </a:lnTo>
                <a:lnTo>
                  <a:pt x="1150872" y="32544"/>
                </a:lnTo>
                <a:lnTo>
                  <a:pt x="1171915" y="25400"/>
                </a:lnTo>
                <a:lnTo>
                  <a:pt x="1194547" y="18653"/>
                </a:lnTo>
                <a:lnTo>
                  <a:pt x="1206458" y="15875"/>
                </a:lnTo>
                <a:lnTo>
                  <a:pt x="1218369" y="12303"/>
                </a:lnTo>
                <a:lnTo>
                  <a:pt x="1230281" y="9525"/>
                </a:lnTo>
                <a:lnTo>
                  <a:pt x="1242986" y="7144"/>
                </a:lnTo>
                <a:lnTo>
                  <a:pt x="1255294" y="5159"/>
                </a:lnTo>
                <a:lnTo>
                  <a:pt x="1268397" y="3175"/>
                </a:lnTo>
                <a:lnTo>
                  <a:pt x="1281102" y="1588"/>
                </a:lnTo>
                <a:lnTo>
                  <a:pt x="1294602" y="794"/>
                </a:lnTo>
                <a:lnTo>
                  <a:pt x="1307704" y="0"/>
                </a:lnTo>
                <a:close/>
              </a:path>
            </a:pathLst>
          </a:custGeom>
          <a:grpFill/>
          <a:ln>
            <a:solidFill>
              <a:schemeClr val="bg1"/>
            </a:solidFill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pitchFamily="34" charset="0"/>
                <a:ea typeface="宋体" panose="02010600030101010101" pitchFamily="7" charset="-122"/>
                <a:cs typeface="+mn-cs"/>
              </a:defRPr>
            </a:lvl9pPr>
          </a:lstStyle>
          <a:p>
            <a:pPr algn="ctr"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  <xdr:sp>
        <xdr:nvSpPr>
          <xdr:cNvPr id="24" name="文本框 23">
            <a:hlinkClick xmlns:r="http://schemas.openxmlformats.org/officeDocument/2006/relationships" r:id="rId12"/>
          </xdr:cNvPr>
          <xdr:cNvSpPr txBox="1"/>
        </xdr:nvSpPr>
        <xdr:spPr>
          <a:xfrm>
            <a:off x="6666" y="3419"/>
            <a:ext cx="2382" cy="551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rPr>
              <a:t>1-员工基本信息</a:t>
            </a:r>
            <a:endParaRPr lang="zh-CN" altLang="en-US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247015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247015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266065</xdr:colOff>
      <xdr:row>0</xdr:row>
      <xdr:rowOff>290195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0" y="0"/>
          <a:ext cx="875665" cy="290195"/>
        </a:xfrm>
        <a:prstGeom prst="roundRect">
          <a:avLst/>
        </a:prstGeom>
        <a:solidFill>
          <a:srgbClr val="A92230"/>
        </a:solidFill>
        <a:ln>
          <a:solidFill>
            <a:srgbClr val="A9223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返回目录</a:t>
          </a:r>
          <a:endParaRPr lang="en-US" altLang="zh-CN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85" zoomScaleNormal="85" workbookViewId="0">
      <selection activeCell="Y16" sqref="Y16"/>
    </sheetView>
  </sheetViews>
  <sheetFormatPr defaultColWidth="9" defaultRowHeight="14"/>
  <cols>
    <col min="1" max="9" width="9" customWidth="1"/>
  </cols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16"/>
  <sheetViews>
    <sheetView showGridLines="0" workbookViewId="0">
      <selection activeCell="B2" sqref="B2:T2"/>
    </sheetView>
  </sheetViews>
  <sheetFormatPr defaultColWidth="9" defaultRowHeight="25" customHeight="1"/>
  <cols>
    <col min="1" max="1" width="9" style="2"/>
    <col min="2" max="2" width="4.27272727272727" style="2" customWidth="1"/>
    <col min="3" max="3" width="7.90909090909091" style="2" customWidth="1"/>
    <col min="4" max="4" width="7" style="2" customWidth="1"/>
    <col min="5" max="5" width="5.18181818181818" style="2" customWidth="1"/>
    <col min="6" max="6" width="4.27272727272727" style="2" customWidth="1"/>
    <col min="7" max="7" width="6.27272727272727" style="2" customWidth="1"/>
    <col min="8" max="8" width="4.27272727272727" style="2" customWidth="1"/>
    <col min="9" max="9" width="9.72727272727273" style="2" customWidth="1"/>
    <col min="10" max="10" width="4.27272727272727" style="2" customWidth="1"/>
    <col min="11" max="11" width="12.8181818181818" style="2" customWidth="1"/>
    <col min="12" max="12" width="13.7272727272727" style="2" customWidth="1"/>
    <col min="13" max="13" width="10.1818181818182" style="2" customWidth="1"/>
    <col min="14" max="14" width="12.8181818181818" style="2" customWidth="1"/>
    <col min="15" max="15" width="5.18181818181818" style="2" customWidth="1"/>
    <col min="16" max="16" width="7.90909090909091" style="2" customWidth="1"/>
    <col min="17" max="17" width="8.81818181818182" style="2" customWidth="1"/>
    <col min="18" max="18" width="7.90909090909091" style="2" customWidth="1"/>
    <col min="19" max="19" width="9.72727272727273" style="2" customWidth="1"/>
    <col min="20" max="20" width="21" style="2" customWidth="1"/>
    <col min="21" max="16384" width="9" style="2"/>
  </cols>
  <sheetData>
    <row r="2" ht="50" customHeight="1" spans="2:20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Height="1" spans="2:20">
      <c r="B3" s="56" t="s">
        <v>1</v>
      </c>
      <c r="C3" s="57" t="s">
        <v>2</v>
      </c>
      <c r="D3" s="57" t="s">
        <v>3</v>
      </c>
      <c r="E3" s="57" t="s">
        <v>4</v>
      </c>
      <c r="F3" s="57" t="s">
        <v>5</v>
      </c>
      <c r="G3" s="57" t="s">
        <v>6</v>
      </c>
      <c r="H3" s="57" t="s">
        <v>7</v>
      </c>
      <c r="I3" s="57" t="s">
        <v>8</v>
      </c>
      <c r="J3" s="57" t="s">
        <v>9</v>
      </c>
      <c r="K3" s="19" t="s">
        <v>10</v>
      </c>
      <c r="L3" s="57" t="s">
        <v>11</v>
      </c>
      <c r="M3" s="57" t="s">
        <v>12</v>
      </c>
      <c r="N3" s="57" t="s">
        <v>13</v>
      </c>
      <c r="O3" s="57" t="s">
        <v>14</v>
      </c>
      <c r="P3" s="57" t="s">
        <v>15</v>
      </c>
      <c r="Q3" s="57" t="s">
        <v>16</v>
      </c>
      <c r="R3" s="57" t="s">
        <v>17</v>
      </c>
      <c r="S3" s="57" t="s">
        <v>18</v>
      </c>
      <c r="T3" s="25" t="s">
        <v>19</v>
      </c>
    </row>
    <row r="4" customHeight="1" spans="2:20">
      <c r="B4" s="11">
        <v>1</v>
      </c>
      <c r="C4" s="11">
        <v>1001</v>
      </c>
      <c r="D4" s="11" t="s">
        <v>20</v>
      </c>
      <c r="E4" s="11" t="s">
        <v>21</v>
      </c>
      <c r="F4" s="11">
        <v>1</v>
      </c>
      <c r="G4" s="11" t="s">
        <v>22</v>
      </c>
      <c r="H4" s="11" t="s">
        <v>23</v>
      </c>
      <c r="I4" s="39">
        <v>36589</v>
      </c>
      <c r="J4" s="11" t="s">
        <v>24</v>
      </c>
      <c r="K4" s="11" t="s">
        <v>25</v>
      </c>
      <c r="L4" s="11" t="s">
        <v>26</v>
      </c>
      <c r="M4" s="11" t="s">
        <v>27</v>
      </c>
      <c r="N4" s="11" t="s">
        <v>28</v>
      </c>
      <c r="O4" s="11" t="s">
        <v>29</v>
      </c>
      <c r="P4" s="11" t="s">
        <v>30</v>
      </c>
      <c r="Q4" s="11" t="s">
        <v>31</v>
      </c>
      <c r="R4" s="11" t="s">
        <v>32</v>
      </c>
      <c r="S4" s="39">
        <v>45299</v>
      </c>
      <c r="T4" s="11" t="s">
        <v>33</v>
      </c>
    </row>
    <row r="5" customHeight="1" spans="2:20">
      <c r="B5" s="11">
        <v>2</v>
      </c>
      <c r="C5" s="11">
        <v>1002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customHeight="1" spans="2:20">
      <c r="B6" s="11">
        <v>3</v>
      </c>
      <c r="C6" s="11">
        <v>1003</v>
      </c>
      <c r="D6" s="11"/>
      <c r="E6" s="11"/>
      <c r="F6" s="11"/>
      <c r="G6" s="11"/>
      <c r="H6" s="11"/>
      <c r="I6" s="11"/>
      <c r="J6" s="11"/>
      <c r="K6" s="26"/>
      <c r="L6" s="11"/>
      <c r="M6" s="11"/>
      <c r="N6" s="11"/>
      <c r="O6" s="11"/>
      <c r="P6" s="11"/>
      <c r="Q6" s="11"/>
      <c r="R6" s="11"/>
      <c r="S6" s="11"/>
      <c r="T6" s="11"/>
    </row>
    <row r="7" customHeight="1" spans="2:20">
      <c r="B7" s="11">
        <v>4</v>
      </c>
      <c r="C7" s="11">
        <v>1004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customHeight="1" spans="2:20">
      <c r="B8" s="11">
        <v>5</v>
      </c>
      <c r="C8" s="11">
        <v>1005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customHeight="1" spans="2:20">
      <c r="B9" s="11">
        <v>6</v>
      </c>
      <c r="C9" s="11">
        <v>1006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customHeight="1" spans="2:20">
      <c r="B10" s="11">
        <v>7</v>
      </c>
      <c r="C10" s="11">
        <v>1007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Height="1" spans="2:20">
      <c r="B11" s="11">
        <v>8</v>
      </c>
      <c r="C11" s="11">
        <v>1008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customHeight="1" spans="2:20">
      <c r="B12" s="11">
        <v>9</v>
      </c>
      <c r="C12" s="11">
        <v>1009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customHeight="1" spans="2:20">
      <c r="B13" s="11">
        <v>10</v>
      </c>
      <c r="C13" s="11">
        <v>1010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="1" customFormat="1" customHeight="1" spans="2:20">
      <c r="B14" s="23" t="s">
        <v>34</v>
      </c>
      <c r="C14" s="14"/>
      <c r="D14" s="14"/>
      <c r="E14" s="14"/>
      <c r="F14" s="14"/>
      <c r="G14" s="14">
        <f>COUNTA(G4:G13)</f>
        <v>1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6" customHeight="1" spans="2:2">
      <c r="B16" s="2" t="s">
        <v>35</v>
      </c>
    </row>
  </sheetData>
  <mergeCells count="1">
    <mergeCell ref="B2:T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16"/>
  <sheetViews>
    <sheetView showGridLines="0" workbookViewId="0">
      <selection activeCell="B2" sqref="B2:AD2"/>
    </sheetView>
  </sheetViews>
  <sheetFormatPr defaultColWidth="9" defaultRowHeight="25" customHeight="1"/>
  <cols>
    <col min="1" max="1" width="9" style="52"/>
    <col min="2" max="2" width="4.27272727272727" style="52" customWidth="1"/>
    <col min="3" max="3" width="6.09090909090909" style="52" customWidth="1"/>
    <col min="4" max="4" width="4.81818181818182" style="52" customWidth="1"/>
    <col min="5" max="5" width="6.09090909090909" style="52" customWidth="1"/>
    <col min="6" max="6" width="7.90909090909091" style="52" customWidth="1"/>
    <col min="7" max="9" width="4.27272727272727" style="52" customWidth="1"/>
    <col min="10" max="12" width="7.90909090909091" style="52" customWidth="1"/>
    <col min="13" max="15" width="6.09090909090909" style="52" customWidth="1"/>
    <col min="16" max="17" width="3.72727272727273" style="52" customWidth="1"/>
    <col min="18" max="18" width="13.3636363636364" style="52" customWidth="1"/>
    <col min="19" max="21" width="4.27272727272727" style="52" customWidth="1"/>
    <col min="22" max="22" width="7.18181818181818" style="52" customWidth="1"/>
    <col min="23" max="24" width="13.7272727272727" style="52" customWidth="1"/>
    <col min="25" max="25" width="12.6363636363636" style="52" customWidth="1"/>
    <col min="26" max="30" width="4.27272727272727" style="52" customWidth="1"/>
    <col min="31" max="16384" width="9" style="52"/>
  </cols>
  <sheetData>
    <row r="2" ht="50" customHeight="1" spans="2:30">
      <c r="B2" s="53" t="s">
        <v>36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 customHeight="1" spans="2:30">
      <c r="B3" s="4" t="s">
        <v>1</v>
      </c>
      <c r="C3" s="5" t="s">
        <v>3</v>
      </c>
      <c r="D3" s="5" t="s">
        <v>37</v>
      </c>
      <c r="E3" s="5" t="s">
        <v>38</v>
      </c>
      <c r="F3" s="5"/>
      <c r="G3" s="5"/>
      <c r="H3" s="5"/>
      <c r="I3" s="5"/>
      <c r="J3" s="5"/>
      <c r="K3" s="5"/>
      <c r="L3" s="5"/>
      <c r="M3" s="6" t="s">
        <v>39</v>
      </c>
      <c r="N3" s="6"/>
      <c r="O3" s="6"/>
      <c r="P3" s="5" t="s">
        <v>40</v>
      </c>
      <c r="Q3" s="5"/>
      <c r="R3" s="6" t="s">
        <v>41</v>
      </c>
      <c r="S3" s="6"/>
      <c r="T3" s="6"/>
      <c r="U3" s="6"/>
      <c r="V3" s="5" t="s">
        <v>42</v>
      </c>
      <c r="W3" s="5"/>
      <c r="X3" s="5"/>
      <c r="Y3" s="5"/>
      <c r="Z3" s="6" t="s">
        <v>43</v>
      </c>
      <c r="AA3" s="6"/>
      <c r="AB3" s="5" t="s">
        <v>44</v>
      </c>
      <c r="AC3" s="5"/>
      <c r="AD3" s="54" t="s">
        <v>45</v>
      </c>
    </row>
    <row r="4" customHeight="1" spans="2:30">
      <c r="B4" s="7"/>
      <c r="C4" s="8"/>
      <c r="D4" s="8"/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9" t="s">
        <v>54</v>
      </c>
      <c r="N4" s="9" t="s">
        <v>55</v>
      </c>
      <c r="O4" s="9" t="s">
        <v>56</v>
      </c>
      <c r="P4" s="8" t="s">
        <v>57</v>
      </c>
      <c r="Q4" s="8" t="s">
        <v>23</v>
      </c>
      <c r="R4" s="9" t="s">
        <v>58</v>
      </c>
      <c r="S4" s="9" t="s">
        <v>29</v>
      </c>
      <c r="T4" s="9" t="s">
        <v>59</v>
      </c>
      <c r="U4" s="9" t="s">
        <v>60</v>
      </c>
      <c r="V4" s="8" t="s">
        <v>61</v>
      </c>
      <c r="W4" s="8" t="s">
        <v>62</v>
      </c>
      <c r="X4" s="8" t="s">
        <v>63</v>
      </c>
      <c r="Y4" s="8" t="s">
        <v>64</v>
      </c>
      <c r="Z4" s="9" t="s">
        <v>65</v>
      </c>
      <c r="AA4" s="9" t="s">
        <v>66</v>
      </c>
      <c r="AB4" s="8" t="s">
        <v>67</v>
      </c>
      <c r="AC4" s="8" t="s">
        <v>68</v>
      </c>
      <c r="AD4" s="55"/>
    </row>
    <row r="5" customHeight="1" spans="2:30">
      <c r="B5" s="21">
        <v>1</v>
      </c>
      <c r="C5" s="21" t="s">
        <v>69</v>
      </c>
      <c r="D5" s="21">
        <v>25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customHeight="1" spans="2:30">
      <c r="B6" s="21">
        <v>2</v>
      </c>
      <c r="C6" s="21" t="s">
        <v>70</v>
      </c>
      <c r="D6" s="21">
        <v>30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customHeight="1" spans="2:30">
      <c r="B7" s="21">
        <v>3</v>
      </c>
      <c r="C7" s="21" t="s">
        <v>71</v>
      </c>
      <c r="D7" s="21">
        <v>25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customHeight="1" spans="2:30">
      <c r="B8" s="21">
        <v>4</v>
      </c>
      <c r="C8" s="21" t="s">
        <v>20</v>
      </c>
      <c r="D8" s="21">
        <v>66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customHeight="1" spans="2:30">
      <c r="B9" s="21">
        <v>5</v>
      </c>
      <c r="C9" s="21" t="s">
        <v>72</v>
      </c>
      <c r="D9" s="21">
        <v>348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customHeight="1" spans="2:30">
      <c r="B10" s="21">
        <v>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customHeight="1" spans="2:30">
      <c r="B11" s="21">
        <v>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customHeight="1" spans="2:30">
      <c r="B12" s="21">
        <v>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customHeight="1" spans="2:30">
      <c r="B13" s="21">
        <v>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customHeight="1" spans="2:30">
      <c r="B14" s="21">
        <v>10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6" customHeight="1" spans="2:2">
      <c r="B16" s="2" t="s">
        <v>35</v>
      </c>
    </row>
  </sheetData>
  <mergeCells count="12">
    <mergeCell ref="B2:AD2"/>
    <mergeCell ref="E3:L3"/>
    <mergeCell ref="M3:O3"/>
    <mergeCell ref="P3:Q3"/>
    <mergeCell ref="R3:U3"/>
    <mergeCell ref="V3:Y3"/>
    <mergeCell ref="Z3:AA3"/>
    <mergeCell ref="AB3:AC3"/>
    <mergeCell ref="B3:B4"/>
    <mergeCell ref="C3:C4"/>
    <mergeCell ref="D3:D4"/>
    <mergeCell ref="AD3:AD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17"/>
  <sheetViews>
    <sheetView showGridLines="0" workbookViewId="0">
      <selection activeCell="B2" sqref="B2:S2"/>
    </sheetView>
  </sheetViews>
  <sheetFormatPr defaultColWidth="8.72727272727273" defaultRowHeight="25" customHeight="1"/>
  <cols>
    <col min="1" max="3" width="8.72727272727273" style="2"/>
    <col min="4" max="4" width="10.7272727272727" style="48" customWidth="1"/>
    <col min="5" max="10" width="8.63636363636364" style="2" customWidth="1"/>
    <col min="11" max="11" width="9.72727272727273" style="2" customWidth="1"/>
    <col min="12" max="18" width="8.63636363636364" style="2" customWidth="1"/>
    <col min="19" max="16384" width="8.72727272727273" style="2"/>
  </cols>
  <sheetData>
    <row r="2" ht="50" customHeight="1" spans="2:19">
      <c r="B2" s="3" t="s">
        <v>73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customHeight="1" spans="2:19">
      <c r="B3" s="28" t="s">
        <v>1</v>
      </c>
      <c r="C3" s="29" t="s">
        <v>3</v>
      </c>
      <c r="D3" s="30" t="s">
        <v>74</v>
      </c>
      <c r="E3" s="5" t="s">
        <v>75</v>
      </c>
      <c r="F3" s="5" t="s">
        <v>76</v>
      </c>
      <c r="G3" s="29" t="s">
        <v>77</v>
      </c>
      <c r="H3" s="29"/>
      <c r="I3" s="29"/>
      <c r="J3" s="29"/>
      <c r="K3" s="6" t="s">
        <v>78</v>
      </c>
      <c r="L3" s="29" t="s">
        <v>79</v>
      </c>
      <c r="M3" s="29"/>
      <c r="N3" s="29" t="s">
        <v>80</v>
      </c>
      <c r="O3" s="29"/>
      <c r="P3" s="5" t="s">
        <v>81</v>
      </c>
      <c r="Q3" s="5" t="s">
        <v>82</v>
      </c>
      <c r="R3" s="5" t="s">
        <v>83</v>
      </c>
      <c r="S3" s="16" t="s">
        <v>45</v>
      </c>
    </row>
    <row r="4" customHeight="1" spans="2:19">
      <c r="B4" s="31"/>
      <c r="C4" s="36"/>
      <c r="D4" s="34"/>
      <c r="E4" s="8"/>
      <c r="F4" s="8"/>
      <c r="G4" s="36" t="s">
        <v>84</v>
      </c>
      <c r="H4" s="36" t="s">
        <v>85</v>
      </c>
      <c r="I4" s="36" t="s">
        <v>86</v>
      </c>
      <c r="J4" s="36" t="s">
        <v>87</v>
      </c>
      <c r="K4" s="9"/>
      <c r="L4" s="36" t="s">
        <v>88</v>
      </c>
      <c r="M4" s="36" t="s">
        <v>89</v>
      </c>
      <c r="N4" s="36" t="s">
        <v>90</v>
      </c>
      <c r="O4" s="36" t="s">
        <v>91</v>
      </c>
      <c r="P4" s="8"/>
      <c r="Q4" s="8"/>
      <c r="R4" s="8"/>
      <c r="S4" s="17"/>
    </row>
    <row r="5" customHeight="1" spans="2:19">
      <c r="B5" s="11">
        <v>1</v>
      </c>
      <c r="C5" s="11" t="s">
        <v>69</v>
      </c>
      <c r="D5" s="22"/>
      <c r="E5" s="11"/>
      <c r="F5" s="11"/>
      <c r="G5" s="11"/>
      <c r="H5" s="22"/>
      <c r="I5" s="22"/>
      <c r="J5" s="22"/>
      <c r="K5" s="22"/>
      <c r="L5" s="22"/>
      <c r="M5" s="11"/>
      <c r="N5" s="22"/>
      <c r="O5" s="11"/>
      <c r="P5" s="11"/>
      <c r="Q5" s="11"/>
      <c r="R5" s="11"/>
      <c r="S5" s="11"/>
    </row>
    <row r="6" customHeight="1" spans="2:19">
      <c r="B6" s="11">
        <v>2</v>
      </c>
      <c r="C6" s="11" t="s">
        <v>70</v>
      </c>
      <c r="D6" s="22"/>
      <c r="E6" s="22"/>
      <c r="F6" s="11"/>
      <c r="G6" s="11"/>
      <c r="H6" s="22"/>
      <c r="I6" s="22"/>
      <c r="J6" s="22"/>
      <c r="K6" s="22"/>
      <c r="L6" s="22"/>
      <c r="M6" s="11"/>
      <c r="N6" s="22"/>
      <c r="O6" s="11"/>
      <c r="P6" s="11"/>
      <c r="Q6" s="11"/>
      <c r="R6" s="11"/>
      <c r="S6" s="21"/>
    </row>
    <row r="7" customHeight="1" spans="2:19">
      <c r="B7" s="11">
        <v>3</v>
      </c>
      <c r="C7" s="11" t="s">
        <v>71</v>
      </c>
      <c r="D7" s="22"/>
      <c r="E7" s="22"/>
      <c r="F7" s="22"/>
      <c r="G7" s="22"/>
      <c r="H7" s="22"/>
      <c r="I7" s="22"/>
      <c r="J7" s="22"/>
      <c r="K7" s="22"/>
      <c r="L7" s="22"/>
      <c r="M7" s="11"/>
      <c r="N7" s="22"/>
      <c r="O7" s="11"/>
      <c r="P7" s="11"/>
      <c r="Q7" s="11"/>
      <c r="R7" s="11"/>
      <c r="S7" s="21"/>
    </row>
    <row r="8" customHeight="1" spans="2:19">
      <c r="B8" s="11">
        <v>4</v>
      </c>
      <c r="C8" s="11" t="s">
        <v>20</v>
      </c>
      <c r="D8" s="22"/>
      <c r="E8" s="26"/>
      <c r="F8" s="22"/>
      <c r="G8" s="22"/>
      <c r="H8" s="22"/>
      <c r="I8" s="22"/>
      <c r="J8" s="22"/>
      <c r="K8" s="22"/>
      <c r="L8" s="22"/>
      <c r="M8" s="11"/>
      <c r="N8" s="22"/>
      <c r="O8" s="11"/>
      <c r="P8" s="11"/>
      <c r="Q8" s="11"/>
      <c r="R8" s="11"/>
      <c r="S8" s="21"/>
    </row>
    <row r="9" customHeight="1" spans="2:19">
      <c r="B9" s="11">
        <v>5</v>
      </c>
      <c r="C9" s="11" t="s">
        <v>72</v>
      </c>
      <c r="D9" s="22"/>
      <c r="E9" s="22"/>
      <c r="F9" s="11"/>
      <c r="G9" s="11"/>
      <c r="H9" s="22"/>
      <c r="I9" s="22"/>
      <c r="J9" s="22"/>
      <c r="K9" s="22"/>
      <c r="L9" s="22"/>
      <c r="M9" s="22"/>
      <c r="N9" s="11"/>
      <c r="O9" s="11"/>
      <c r="P9" s="11"/>
      <c r="Q9" s="11"/>
      <c r="R9" s="11"/>
      <c r="S9" s="11"/>
    </row>
    <row r="10" customHeight="1" spans="2:19">
      <c r="B10" s="11">
        <v>6</v>
      </c>
      <c r="C10" s="11"/>
      <c r="D10" s="22"/>
      <c r="E10" s="11"/>
      <c r="F10" s="11"/>
      <c r="G10" s="11"/>
      <c r="H10" s="22"/>
      <c r="I10" s="22"/>
      <c r="J10" s="22"/>
      <c r="K10" s="22"/>
      <c r="L10" s="22"/>
      <c r="M10" s="22"/>
      <c r="N10" s="22"/>
      <c r="O10" s="22"/>
      <c r="P10" s="11"/>
      <c r="Q10" s="11"/>
      <c r="R10" s="11"/>
      <c r="S10" s="21"/>
    </row>
    <row r="11" customHeight="1" spans="2:19">
      <c r="B11" s="11">
        <v>7</v>
      </c>
      <c r="C11" s="11"/>
      <c r="D11" s="22"/>
      <c r="E11" s="11"/>
      <c r="F11" s="11"/>
      <c r="G11" s="11"/>
      <c r="H11" s="22"/>
      <c r="I11" s="22"/>
      <c r="J11" s="22"/>
      <c r="K11" s="22"/>
      <c r="L11" s="22"/>
      <c r="M11" s="22"/>
      <c r="N11" s="22"/>
      <c r="O11" s="22"/>
      <c r="P11" s="11"/>
      <c r="Q11" s="11"/>
      <c r="R11" s="11"/>
      <c r="S11" s="21"/>
    </row>
    <row r="12" customHeight="1" spans="2:19">
      <c r="B12" s="11">
        <v>8</v>
      </c>
      <c r="C12" s="11"/>
      <c r="D12" s="22"/>
      <c r="E12" s="11"/>
      <c r="F12" s="11"/>
      <c r="G12" s="11"/>
      <c r="H12" s="22"/>
      <c r="I12" s="22"/>
      <c r="J12" s="22"/>
      <c r="K12" s="22"/>
      <c r="L12" s="22"/>
      <c r="M12" s="22"/>
      <c r="N12" s="22"/>
      <c r="O12" s="22"/>
      <c r="P12" s="11"/>
      <c r="Q12" s="11"/>
      <c r="R12" s="11"/>
      <c r="S12" s="21"/>
    </row>
    <row r="13" customHeight="1" spans="2:19">
      <c r="B13" s="11">
        <v>9</v>
      </c>
      <c r="C13" s="11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1"/>
      <c r="Q13" s="11"/>
      <c r="R13" s="11"/>
      <c r="S13" s="21"/>
    </row>
    <row r="14" customHeight="1" spans="2:19">
      <c r="B14" s="11">
        <v>10</v>
      </c>
      <c r="C14" s="11"/>
      <c r="D14" s="22"/>
      <c r="E14" s="22"/>
      <c r="F14" s="11"/>
      <c r="G14" s="11"/>
      <c r="H14" s="22"/>
      <c r="I14" s="22"/>
      <c r="J14" s="22"/>
      <c r="K14" s="22"/>
      <c r="L14" s="22"/>
      <c r="M14" s="22"/>
      <c r="N14" s="11"/>
      <c r="O14" s="11"/>
      <c r="P14" s="11"/>
      <c r="Q14" s="11"/>
      <c r="R14" s="11"/>
      <c r="S14" s="11"/>
    </row>
    <row r="15" s="46" customFormat="1" customHeight="1" spans="2:19">
      <c r="B15" s="14" t="s">
        <v>34</v>
      </c>
      <c r="C15" s="14"/>
      <c r="D15" s="14">
        <f>SUM(D5:D14)</f>
        <v>0</v>
      </c>
      <c r="E15" s="14">
        <f t="shared" ref="E15:R15" si="0">SUM(E5:E14)</f>
        <v>0</v>
      </c>
      <c r="F15" s="14">
        <f t="shared" si="0"/>
        <v>0</v>
      </c>
      <c r="G15" s="14">
        <f t="shared" si="0"/>
        <v>0</v>
      </c>
      <c r="H15" s="14">
        <f t="shared" si="0"/>
        <v>0</v>
      </c>
      <c r="I15" s="14">
        <f t="shared" si="0"/>
        <v>0</v>
      </c>
      <c r="J15" s="14">
        <f t="shared" si="0"/>
        <v>0</v>
      </c>
      <c r="K15" s="14">
        <f t="shared" si="0"/>
        <v>0</v>
      </c>
      <c r="L15" s="14">
        <f t="shared" si="0"/>
        <v>0</v>
      </c>
      <c r="M15" s="14">
        <f t="shared" si="0"/>
        <v>0</v>
      </c>
      <c r="N15" s="14">
        <f t="shared" si="0"/>
        <v>0</v>
      </c>
      <c r="O15" s="14">
        <f t="shared" si="0"/>
        <v>0</v>
      </c>
      <c r="P15" s="14">
        <f t="shared" si="0"/>
        <v>0</v>
      </c>
      <c r="Q15" s="14">
        <f t="shared" si="0"/>
        <v>0</v>
      </c>
      <c r="R15" s="14">
        <f t="shared" si="0"/>
        <v>0</v>
      </c>
      <c r="S15" s="14"/>
    </row>
    <row r="17" customHeight="1" spans="2:2">
      <c r="B17" s="2" t="s">
        <v>35</v>
      </c>
    </row>
  </sheetData>
  <mergeCells count="14">
    <mergeCell ref="B2:S2"/>
    <mergeCell ref="G3:J3"/>
    <mergeCell ref="L3:M3"/>
    <mergeCell ref="N3:O3"/>
    <mergeCell ref="B3:B4"/>
    <mergeCell ref="C3:C4"/>
    <mergeCell ref="D3:D4"/>
    <mergeCell ref="E3:E4"/>
    <mergeCell ref="F3:F4"/>
    <mergeCell ref="K3:K4"/>
    <mergeCell ref="P3:P4"/>
    <mergeCell ref="Q3:Q4"/>
    <mergeCell ref="R3:R4"/>
    <mergeCell ref="S3:S4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7"/>
  <sheetViews>
    <sheetView showGridLines="0" workbookViewId="0">
      <selection activeCell="B2" sqref="B2:N2"/>
    </sheetView>
  </sheetViews>
  <sheetFormatPr defaultColWidth="8.72727272727273" defaultRowHeight="25" customHeight="1"/>
  <cols>
    <col min="1" max="1" width="8.72727272727273" style="2"/>
    <col min="2" max="2" width="5.18181818181818" style="48" customWidth="1"/>
    <col min="3" max="3" width="7" style="48" customWidth="1"/>
    <col min="4" max="4" width="5.18181818181818" style="48" customWidth="1"/>
    <col min="5" max="5" width="6.27272727272727" style="48" customWidth="1"/>
    <col min="6" max="9" width="10.6363636363636" style="48" customWidth="1"/>
    <col min="10" max="12" width="5.18181818181818" style="48" customWidth="1"/>
    <col min="13" max="13" width="8.81818181818182" style="48" customWidth="1"/>
    <col min="14" max="14" width="5.18181818181818" style="48" customWidth="1"/>
    <col min="15" max="16384" width="8.72727272727273" style="2"/>
  </cols>
  <sheetData>
    <row r="2" ht="50" customHeight="1" spans="2:14">
      <c r="B2" s="3" t="s">
        <v>92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Height="1" spans="2:14">
      <c r="B3" s="28" t="s">
        <v>1</v>
      </c>
      <c r="C3" s="29" t="s">
        <v>3</v>
      </c>
      <c r="D3" s="29" t="s">
        <v>93</v>
      </c>
      <c r="E3" s="29" t="s">
        <v>6</v>
      </c>
      <c r="F3" s="29" t="s">
        <v>94</v>
      </c>
      <c r="G3" s="29" t="s">
        <v>95</v>
      </c>
      <c r="H3" s="29" t="s">
        <v>9</v>
      </c>
      <c r="I3" s="29" t="s">
        <v>96</v>
      </c>
      <c r="J3" s="30" t="s">
        <v>97</v>
      </c>
      <c r="K3" s="30"/>
      <c r="L3" s="30"/>
      <c r="M3" s="29" t="s">
        <v>98</v>
      </c>
      <c r="N3" s="16" t="s">
        <v>45</v>
      </c>
    </row>
    <row r="4" customHeight="1" spans="2:14">
      <c r="B4" s="31"/>
      <c r="C4" s="36"/>
      <c r="D4" s="36"/>
      <c r="E4" s="36"/>
      <c r="F4" s="36"/>
      <c r="G4" s="36"/>
      <c r="H4" s="36"/>
      <c r="I4" s="36"/>
      <c r="J4" s="34" t="s">
        <v>99</v>
      </c>
      <c r="K4" s="34" t="s">
        <v>100</v>
      </c>
      <c r="L4" s="34" t="s">
        <v>101</v>
      </c>
      <c r="M4" s="36"/>
      <c r="N4" s="17"/>
    </row>
    <row r="5" customHeight="1" spans="2:14">
      <c r="B5" s="11">
        <v>1</v>
      </c>
      <c r="C5" s="11" t="s">
        <v>69</v>
      </c>
      <c r="D5" s="11" t="s">
        <v>102</v>
      </c>
      <c r="E5" s="11" t="s">
        <v>22</v>
      </c>
      <c r="F5" s="11" t="s">
        <v>103</v>
      </c>
      <c r="G5" s="11"/>
      <c r="H5" s="11"/>
      <c r="I5" s="11"/>
      <c r="J5" s="49"/>
      <c r="K5" s="49"/>
      <c r="L5" s="49"/>
      <c r="M5" s="49"/>
      <c r="N5" s="49"/>
    </row>
    <row r="6" customHeight="1" spans="2:14">
      <c r="B6" s="11">
        <v>2</v>
      </c>
      <c r="C6" s="11" t="s">
        <v>69</v>
      </c>
      <c r="D6" s="11" t="s">
        <v>21</v>
      </c>
      <c r="E6" s="11" t="s">
        <v>104</v>
      </c>
      <c r="F6" s="11" t="s">
        <v>103</v>
      </c>
      <c r="G6" s="11"/>
      <c r="H6" s="11"/>
      <c r="I6" s="11"/>
      <c r="J6" s="49"/>
      <c r="K6" s="49"/>
      <c r="L6" s="49"/>
      <c r="M6" s="49"/>
      <c r="N6" s="49"/>
    </row>
    <row r="7" customHeight="1" spans="2:14">
      <c r="B7" s="11">
        <v>3</v>
      </c>
      <c r="C7" s="11"/>
      <c r="D7" s="11"/>
      <c r="E7" s="11"/>
      <c r="F7" s="11"/>
      <c r="G7" s="11"/>
      <c r="H7" s="11"/>
      <c r="I7" s="11"/>
      <c r="J7" s="49"/>
      <c r="K7" s="49"/>
      <c r="L7" s="49"/>
      <c r="M7" s="49"/>
      <c r="N7" s="49"/>
    </row>
    <row r="8" customHeight="1" spans="2:14">
      <c r="B8" s="11">
        <v>4</v>
      </c>
      <c r="C8" s="11"/>
      <c r="D8" s="11"/>
      <c r="E8" s="11"/>
      <c r="F8" s="11"/>
      <c r="G8" s="11"/>
      <c r="H8" s="11"/>
      <c r="I8" s="11"/>
      <c r="J8" s="49"/>
      <c r="K8" s="49"/>
      <c r="L8" s="49"/>
      <c r="M8" s="49"/>
      <c r="N8" s="49"/>
    </row>
    <row r="9" customHeight="1" spans="2:14">
      <c r="B9" s="11">
        <v>5</v>
      </c>
      <c r="C9" s="11"/>
      <c r="D9" s="11"/>
      <c r="E9" s="11"/>
      <c r="F9" s="11"/>
      <c r="G9" s="11"/>
      <c r="H9" s="11"/>
      <c r="I9" s="11"/>
      <c r="J9" s="49"/>
      <c r="K9" s="49"/>
      <c r="L9" s="49"/>
      <c r="M9" s="49"/>
      <c r="N9" s="49"/>
    </row>
    <row r="10" customHeight="1" spans="2:14">
      <c r="B10" s="11">
        <v>6</v>
      </c>
      <c r="C10" s="11"/>
      <c r="D10" s="11"/>
      <c r="E10" s="11"/>
      <c r="F10" s="11"/>
      <c r="G10" s="11"/>
      <c r="H10" s="11"/>
      <c r="I10" s="11"/>
      <c r="J10" s="49"/>
      <c r="K10" s="49"/>
      <c r="L10" s="49"/>
      <c r="M10" s="49"/>
      <c r="N10" s="49"/>
    </row>
    <row r="11" customHeight="1" spans="2:14">
      <c r="B11" s="11">
        <v>7</v>
      </c>
      <c r="C11" s="11"/>
      <c r="D11" s="11"/>
      <c r="E11" s="11"/>
      <c r="F11" s="11"/>
      <c r="G11" s="11"/>
      <c r="H11" s="11"/>
      <c r="I11" s="11"/>
      <c r="J11" s="49"/>
      <c r="K11" s="49"/>
      <c r="L11" s="49"/>
      <c r="M11" s="49"/>
      <c r="N11" s="49"/>
    </row>
    <row r="12" customHeight="1" spans="2:14">
      <c r="B12" s="11">
        <v>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49"/>
    </row>
    <row r="13" customHeight="1" spans="2:14">
      <c r="B13" s="11">
        <v>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49"/>
    </row>
    <row r="14" customHeight="1" spans="2:14">
      <c r="B14" s="11">
        <v>10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49"/>
    </row>
    <row r="15" s="46" customFormat="1" customHeight="1" spans="2:14">
      <c r="B15" s="14" t="s">
        <v>34</v>
      </c>
      <c r="C15" s="14"/>
      <c r="D15" s="14"/>
      <c r="E15" s="14">
        <f>COUNTA(E5:E14)</f>
        <v>2</v>
      </c>
      <c r="F15" s="14"/>
      <c r="G15" s="14"/>
      <c r="H15" s="14"/>
      <c r="I15" s="14"/>
      <c r="J15" s="50"/>
      <c r="K15" s="50"/>
      <c r="L15" s="50"/>
      <c r="M15" s="50">
        <f>COUNTA(M5:M14)</f>
        <v>0</v>
      </c>
      <c r="N15" s="14"/>
    </row>
    <row r="17" customHeight="1" spans="2:2">
      <c r="B17" s="2" t="s">
        <v>35</v>
      </c>
    </row>
  </sheetData>
  <mergeCells count="12">
    <mergeCell ref="B2:N2"/>
    <mergeCell ref="J3:L3"/>
    <mergeCell ref="B3:B4"/>
    <mergeCell ref="C3:C4"/>
    <mergeCell ref="D3:D4"/>
    <mergeCell ref="E3:E4"/>
    <mergeCell ref="F3:F4"/>
    <mergeCell ref="G3:G4"/>
    <mergeCell ref="H3:H4"/>
    <mergeCell ref="I3:I4"/>
    <mergeCell ref="M3:M4"/>
    <mergeCell ref="N3:N4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showGridLines="0" workbookViewId="0">
      <selection activeCell="B2" sqref="B2:K2"/>
    </sheetView>
  </sheetViews>
  <sheetFormatPr defaultColWidth="8.72727272727273" defaultRowHeight="25" customHeight="1"/>
  <cols>
    <col min="1" max="6" width="8.72727272727273" style="2"/>
    <col min="7" max="7" width="9.72727272727273" style="2"/>
    <col min="8" max="16384" width="8.72727272727273" style="2"/>
  </cols>
  <sheetData>
    <row r="2" ht="50" customHeight="1" spans="2:11">
      <c r="B2" s="3" t="s">
        <v>105</v>
      </c>
      <c r="C2" s="3"/>
      <c r="D2" s="3"/>
      <c r="E2" s="3"/>
      <c r="F2" s="3"/>
      <c r="G2" s="3"/>
      <c r="H2" s="3"/>
      <c r="I2" s="3"/>
      <c r="J2" s="3"/>
      <c r="K2" s="3"/>
    </row>
    <row r="3" customHeight="1" spans="2:11">
      <c r="B3" s="28" t="s">
        <v>1</v>
      </c>
      <c r="C3" s="29" t="s">
        <v>3</v>
      </c>
      <c r="D3" s="29" t="s">
        <v>93</v>
      </c>
      <c r="E3" s="29" t="s">
        <v>106</v>
      </c>
      <c r="F3" s="29" t="s">
        <v>107</v>
      </c>
      <c r="G3" s="29" t="s">
        <v>108</v>
      </c>
      <c r="H3" s="30" t="s">
        <v>109</v>
      </c>
      <c r="I3" s="29" t="s">
        <v>110</v>
      </c>
      <c r="J3" s="29" t="s">
        <v>111</v>
      </c>
      <c r="K3" s="16" t="s">
        <v>45</v>
      </c>
    </row>
    <row r="4" customHeight="1" spans="2:11">
      <c r="B4" s="11">
        <v>1</v>
      </c>
      <c r="C4" s="11" t="s">
        <v>20</v>
      </c>
      <c r="D4" s="11">
        <v>20</v>
      </c>
      <c r="E4" s="11">
        <v>10</v>
      </c>
      <c r="F4" s="11">
        <v>10</v>
      </c>
      <c r="G4" s="39">
        <v>45355</v>
      </c>
      <c r="H4" s="11"/>
      <c r="I4" s="47">
        <v>0.375</v>
      </c>
      <c r="J4" s="11"/>
      <c r="K4" s="11"/>
    </row>
    <row r="5" customHeight="1" spans="2:11">
      <c r="B5" s="11">
        <v>2</v>
      </c>
      <c r="C5" s="26"/>
      <c r="D5" s="26"/>
      <c r="E5" s="26"/>
      <c r="F5" s="26"/>
      <c r="G5" s="26"/>
      <c r="H5" s="26"/>
      <c r="I5" s="26"/>
      <c r="J5" s="26"/>
      <c r="K5" s="26"/>
    </row>
    <row r="6" customHeight="1" spans="2:11">
      <c r="B6" s="11">
        <v>3</v>
      </c>
      <c r="C6" s="26"/>
      <c r="D6" s="26"/>
      <c r="E6" s="26"/>
      <c r="F6" s="26"/>
      <c r="G6" s="26"/>
      <c r="H6" s="26"/>
      <c r="I6" s="26"/>
      <c r="J6" s="26"/>
      <c r="K6" s="26"/>
    </row>
    <row r="7" customHeight="1" spans="2:11">
      <c r="B7" s="11">
        <v>4</v>
      </c>
      <c r="C7" s="26"/>
      <c r="D7" s="26"/>
      <c r="E7" s="26"/>
      <c r="F7" s="26"/>
      <c r="G7" s="26"/>
      <c r="H7" s="26"/>
      <c r="I7" s="26"/>
      <c r="J7" s="26"/>
      <c r="K7" s="26"/>
    </row>
    <row r="8" customHeight="1" spans="2:11">
      <c r="B8" s="11">
        <v>5</v>
      </c>
      <c r="C8" s="26"/>
      <c r="D8" s="26"/>
      <c r="E8" s="26"/>
      <c r="F8" s="26"/>
      <c r="G8" s="26"/>
      <c r="H8" s="26"/>
      <c r="I8" s="26"/>
      <c r="J8" s="26"/>
      <c r="K8" s="26"/>
    </row>
    <row r="9" customHeight="1" spans="2:11">
      <c r="B9" s="11">
        <v>6</v>
      </c>
      <c r="C9" s="26"/>
      <c r="D9" s="26"/>
      <c r="E9" s="26"/>
      <c r="F9" s="26"/>
      <c r="G9" s="26"/>
      <c r="H9" s="26"/>
      <c r="I9" s="26"/>
      <c r="J9" s="26"/>
      <c r="K9" s="26"/>
    </row>
    <row r="10" customHeight="1" spans="2:11">
      <c r="B10" s="11">
        <v>7</v>
      </c>
      <c r="C10" s="26"/>
      <c r="D10" s="26"/>
      <c r="E10" s="26"/>
      <c r="F10" s="26"/>
      <c r="G10" s="26"/>
      <c r="H10" s="26"/>
      <c r="I10" s="26"/>
      <c r="J10" s="26"/>
      <c r="K10" s="26"/>
    </row>
    <row r="11" customHeight="1" spans="2:11">
      <c r="B11" s="11">
        <v>8</v>
      </c>
      <c r="C11" s="26"/>
      <c r="D11" s="26"/>
      <c r="E11" s="26"/>
      <c r="F11" s="26"/>
      <c r="G11" s="26"/>
      <c r="H11" s="26"/>
      <c r="I11" s="26"/>
      <c r="J11" s="26"/>
      <c r="K11" s="26"/>
    </row>
    <row r="12" customHeight="1" spans="2:11">
      <c r="B12" s="11">
        <v>9</v>
      </c>
      <c r="C12" s="26"/>
      <c r="D12" s="26"/>
      <c r="E12" s="26"/>
      <c r="F12" s="26"/>
      <c r="G12" s="26"/>
      <c r="H12" s="26"/>
      <c r="I12" s="26"/>
      <c r="J12" s="26"/>
      <c r="K12" s="26"/>
    </row>
    <row r="13" customHeight="1" spans="2:11">
      <c r="B13" s="11">
        <v>10</v>
      </c>
      <c r="C13" s="26"/>
      <c r="D13" s="26"/>
      <c r="E13" s="26"/>
      <c r="F13" s="26"/>
      <c r="G13" s="26"/>
      <c r="H13" s="26"/>
      <c r="I13" s="26"/>
      <c r="J13" s="26"/>
      <c r="K13" s="26"/>
    </row>
    <row r="14" s="46" customFormat="1" customHeight="1" spans="2:11">
      <c r="B14" s="14" t="s">
        <v>112</v>
      </c>
      <c r="C14" s="14"/>
      <c r="D14" s="14"/>
      <c r="E14" s="14"/>
      <c r="F14" s="14"/>
      <c r="G14" s="14"/>
      <c r="H14" s="14">
        <f>SUM(H4:H13)</f>
        <v>0</v>
      </c>
      <c r="I14" s="14" t="s">
        <v>113</v>
      </c>
      <c r="J14" s="14"/>
      <c r="K14" s="14"/>
    </row>
    <row r="16" customHeight="1" spans="2:2">
      <c r="B16" s="2" t="s">
        <v>35</v>
      </c>
    </row>
  </sheetData>
  <mergeCells count="3">
    <mergeCell ref="B2:K2"/>
    <mergeCell ref="B14:D14"/>
    <mergeCell ref="I14:J1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showGridLines="0" workbookViewId="0">
      <selection activeCell="B2" sqref="B2:J2"/>
    </sheetView>
  </sheetViews>
  <sheetFormatPr defaultColWidth="8.72727272727273" defaultRowHeight="25" customHeight="1"/>
  <cols>
    <col min="1" max="1" width="8.72727272727273" style="2"/>
    <col min="2" max="8" width="8.63636363636364" style="2" customWidth="1"/>
    <col min="9" max="9" width="10.7272727272727" style="2" customWidth="1"/>
    <col min="10" max="10" width="8.63636363636364" style="2" customWidth="1"/>
    <col min="11" max="16384" width="8.72727272727273" style="2"/>
  </cols>
  <sheetData>
    <row r="2" ht="50" customHeight="1" spans="2:10">
      <c r="B2" s="3" t="s">
        <v>114</v>
      </c>
      <c r="C2" s="3"/>
      <c r="D2" s="3"/>
      <c r="E2" s="3"/>
      <c r="F2" s="3"/>
      <c r="G2" s="3"/>
      <c r="H2" s="3"/>
      <c r="I2" s="3"/>
      <c r="J2" s="3"/>
    </row>
    <row r="3" customHeight="1" spans="2:10">
      <c r="B3" s="18" t="s">
        <v>1</v>
      </c>
      <c r="C3" s="19" t="s">
        <v>3</v>
      </c>
      <c r="D3" s="19" t="s">
        <v>6</v>
      </c>
      <c r="E3" s="19" t="s">
        <v>4</v>
      </c>
      <c r="F3" s="19" t="s">
        <v>7</v>
      </c>
      <c r="G3" s="19" t="s">
        <v>115</v>
      </c>
      <c r="H3" s="19" t="s">
        <v>14</v>
      </c>
      <c r="I3" s="19" t="s">
        <v>116</v>
      </c>
      <c r="J3" s="25" t="s">
        <v>45</v>
      </c>
    </row>
    <row r="4" customHeight="1" spans="2:10">
      <c r="B4" s="11">
        <v>1</v>
      </c>
      <c r="C4" s="11"/>
      <c r="D4" s="11"/>
      <c r="E4" s="11"/>
      <c r="F4" s="11"/>
      <c r="G4" s="11"/>
      <c r="H4" s="11"/>
      <c r="I4" s="11"/>
      <c r="J4" s="11"/>
    </row>
    <row r="5" customHeight="1" spans="2:10">
      <c r="B5" s="11">
        <v>2</v>
      </c>
      <c r="C5" s="11"/>
      <c r="D5" s="11"/>
      <c r="E5" s="11"/>
      <c r="F5" s="11"/>
      <c r="G5" s="11"/>
      <c r="H5" s="11"/>
      <c r="I5" s="11"/>
      <c r="J5" s="11"/>
    </row>
    <row r="6" customHeight="1" spans="2:10">
      <c r="B6" s="11">
        <v>3</v>
      </c>
      <c r="C6" s="11"/>
      <c r="D6" s="11"/>
      <c r="E6" s="11"/>
      <c r="F6" s="11"/>
      <c r="G6" s="11"/>
      <c r="H6" s="11"/>
      <c r="I6" s="11"/>
      <c r="J6" s="11"/>
    </row>
    <row r="7" customHeight="1" spans="2:10">
      <c r="B7" s="11">
        <v>4</v>
      </c>
      <c r="C7" s="11"/>
      <c r="D7" s="11"/>
      <c r="E7" s="11"/>
      <c r="F7" s="11"/>
      <c r="G7" s="11"/>
      <c r="H7" s="11"/>
      <c r="I7" s="11"/>
      <c r="J7" s="11"/>
    </row>
    <row r="8" customHeight="1" spans="2:10">
      <c r="B8" s="11">
        <v>5</v>
      </c>
      <c r="C8" s="11"/>
      <c r="D8" s="11"/>
      <c r="E8" s="11"/>
      <c r="F8" s="11"/>
      <c r="G8" s="11"/>
      <c r="H8" s="11"/>
      <c r="I8" s="11"/>
      <c r="J8" s="11"/>
    </row>
    <row r="9" customHeight="1" spans="2:10">
      <c r="B9" s="11">
        <v>6</v>
      </c>
      <c r="C9" s="11"/>
      <c r="D9" s="11"/>
      <c r="E9" s="11"/>
      <c r="F9" s="11"/>
      <c r="G9" s="11"/>
      <c r="H9" s="11"/>
      <c r="I9" s="11"/>
      <c r="J9" s="11"/>
    </row>
    <row r="10" customHeight="1" spans="2:10">
      <c r="B10" s="11">
        <v>7</v>
      </c>
      <c r="C10" s="11"/>
      <c r="D10" s="11"/>
      <c r="E10" s="11"/>
      <c r="F10" s="11"/>
      <c r="G10" s="11"/>
      <c r="H10" s="11"/>
      <c r="I10" s="11"/>
      <c r="J10" s="11"/>
    </row>
    <row r="11" customHeight="1" spans="2:10">
      <c r="B11" s="11">
        <v>8</v>
      </c>
      <c r="C11" s="11"/>
      <c r="D11" s="11"/>
      <c r="E11" s="11"/>
      <c r="F11" s="11"/>
      <c r="G11" s="11"/>
      <c r="H11" s="11"/>
      <c r="I11" s="11"/>
      <c r="J11" s="11"/>
    </row>
    <row r="12" customHeight="1" spans="2:10">
      <c r="B12" s="11">
        <v>9</v>
      </c>
      <c r="C12" s="11"/>
      <c r="D12" s="11"/>
      <c r="E12" s="11"/>
      <c r="F12" s="11"/>
      <c r="G12" s="11"/>
      <c r="H12" s="11"/>
      <c r="I12" s="11"/>
      <c r="J12" s="11"/>
    </row>
    <row r="13" customHeight="1" spans="2:10">
      <c r="B13" s="11">
        <v>10</v>
      </c>
      <c r="C13" s="11"/>
      <c r="D13" s="11"/>
      <c r="E13" s="11"/>
      <c r="F13" s="11"/>
      <c r="G13" s="11"/>
      <c r="H13" s="11"/>
      <c r="I13" s="11"/>
      <c r="J13" s="11"/>
    </row>
    <row r="14" s="1" customFormat="1" customHeight="1" spans="2:10">
      <c r="B14" s="40" t="s">
        <v>34</v>
      </c>
      <c r="C14" s="14"/>
      <c r="D14" s="14">
        <f>COUNTA(D4:D13)</f>
        <v>0</v>
      </c>
      <c r="E14" s="14"/>
      <c r="F14" s="14"/>
      <c r="G14" s="14"/>
      <c r="H14" s="14"/>
      <c r="I14" s="14"/>
      <c r="J14" s="14"/>
    </row>
    <row r="16" customHeight="1" spans="2:2">
      <c r="B16" s="2" t="s">
        <v>35</v>
      </c>
    </row>
  </sheetData>
  <mergeCells count="1">
    <mergeCell ref="B2:J2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6"/>
  <sheetViews>
    <sheetView showGridLines="0" workbookViewId="0">
      <selection activeCell="B2" sqref="B2:M2"/>
    </sheetView>
  </sheetViews>
  <sheetFormatPr defaultColWidth="8.72727272727273" defaultRowHeight="25" customHeight="1"/>
  <cols>
    <col min="1" max="4" width="8.72727272727273" style="2"/>
    <col min="5" max="5" width="12.8181818181818" style="2" customWidth="1"/>
    <col min="6" max="10" width="8.72727272727273" style="2"/>
    <col min="11" max="11" width="12.8181818181818" style="2" customWidth="1"/>
    <col min="12" max="16384" width="8.72727272727273" style="2"/>
  </cols>
  <sheetData>
    <row r="2" ht="50" customHeight="1" spans="2:13">
      <c r="B2" s="3" t="s">
        <v>117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2:13">
      <c r="B3" s="18" t="s">
        <v>1</v>
      </c>
      <c r="C3" s="19" t="s">
        <v>3</v>
      </c>
      <c r="D3" s="19" t="s">
        <v>118</v>
      </c>
      <c r="E3" s="19" t="s">
        <v>119</v>
      </c>
      <c r="F3" s="19" t="s">
        <v>120</v>
      </c>
      <c r="G3" s="19" t="s">
        <v>121</v>
      </c>
      <c r="H3" s="19" t="s">
        <v>122</v>
      </c>
      <c r="I3" s="19" t="s">
        <v>123</v>
      </c>
      <c r="J3" s="19" t="s">
        <v>124</v>
      </c>
      <c r="K3" s="19" t="s">
        <v>125</v>
      </c>
      <c r="L3" s="19" t="s">
        <v>126</v>
      </c>
      <c r="M3" s="25" t="s">
        <v>45</v>
      </c>
    </row>
    <row r="4" customHeight="1" spans="2:13">
      <c r="B4" s="11">
        <v>1</v>
      </c>
      <c r="C4" s="44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Height="1" spans="2:13">
      <c r="B5" s="11">
        <v>2</v>
      </c>
      <c r="C5" s="44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customHeight="1" spans="2:13">
      <c r="B6" s="11">
        <v>3</v>
      </c>
      <c r="C6" s="44"/>
      <c r="D6" s="11"/>
      <c r="E6" s="11"/>
      <c r="F6" s="11"/>
      <c r="G6" s="26"/>
      <c r="H6" s="11"/>
      <c r="I6" s="11"/>
      <c r="J6" s="11"/>
      <c r="K6" s="11"/>
      <c r="L6" s="26"/>
      <c r="M6" s="26"/>
    </row>
    <row r="7" customHeight="1" spans="2:13">
      <c r="B7" s="11">
        <v>4</v>
      </c>
      <c r="C7" s="44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customHeight="1" spans="2:13">
      <c r="B8" s="11">
        <v>5</v>
      </c>
      <c r="C8" s="44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customHeight="1" spans="2:13">
      <c r="B9" s="11">
        <v>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customHeight="1" spans="2:13">
      <c r="B10" s="11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customHeight="1" spans="2:13">
      <c r="B11" s="11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customHeight="1" spans="2:13">
      <c r="B12" s="11">
        <v>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customHeight="1" spans="2:13">
      <c r="B13" s="11">
        <v>10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="1" customFormat="1" customHeight="1" spans="2:13">
      <c r="B14" s="14" t="s">
        <v>34</v>
      </c>
      <c r="C14" s="27"/>
      <c r="D14" s="27">
        <f>SUM(D4:D13)</f>
        <v>0</v>
      </c>
      <c r="E14" s="27"/>
      <c r="F14" s="27"/>
      <c r="G14" s="27"/>
      <c r="H14" s="27"/>
      <c r="I14" s="27"/>
      <c r="J14" s="27"/>
      <c r="K14" s="27"/>
      <c r="L14" s="27"/>
      <c r="M14" s="27"/>
    </row>
    <row r="15" customHeight="1" spans="2:2">
      <c r="B15" s="45"/>
    </row>
    <row r="16" customHeight="1" spans="2:2">
      <c r="B16" s="2" t="s">
        <v>35</v>
      </c>
    </row>
  </sheetData>
  <mergeCells count="1">
    <mergeCell ref="B2:M2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6"/>
  <sheetViews>
    <sheetView showGridLines="0" workbookViewId="0">
      <selection activeCell="B2" sqref="B2:I2"/>
    </sheetView>
  </sheetViews>
  <sheetFormatPr defaultColWidth="8.72727272727273" defaultRowHeight="25" customHeight="1"/>
  <cols>
    <col min="1" max="16384" width="8.72727272727273" style="2"/>
  </cols>
  <sheetData>
    <row r="2" ht="50" customHeight="1" spans="2:9">
      <c r="B2" s="3" t="s">
        <v>127</v>
      </c>
      <c r="C2" s="3"/>
      <c r="D2" s="3"/>
      <c r="E2" s="3"/>
      <c r="F2" s="3"/>
      <c r="G2" s="3"/>
      <c r="H2" s="3"/>
      <c r="I2" s="3"/>
    </row>
    <row r="3" customHeight="1" spans="2:9">
      <c r="B3" s="18" t="s">
        <v>1</v>
      </c>
      <c r="C3" s="19" t="s">
        <v>3</v>
      </c>
      <c r="D3" s="19" t="s">
        <v>6</v>
      </c>
      <c r="E3" s="19" t="s">
        <v>4</v>
      </c>
      <c r="F3" s="19" t="s">
        <v>7</v>
      </c>
      <c r="G3" s="19" t="s">
        <v>115</v>
      </c>
      <c r="H3" s="19" t="s">
        <v>128</v>
      </c>
      <c r="I3" s="25" t="s">
        <v>45</v>
      </c>
    </row>
    <row r="4" customHeight="1" spans="2:9">
      <c r="B4" s="11">
        <v>1</v>
      </c>
      <c r="C4" s="11"/>
      <c r="D4" s="11"/>
      <c r="E4" s="21"/>
      <c r="F4" s="11"/>
      <c r="G4" s="11"/>
      <c r="H4" s="21"/>
      <c r="I4" s="11"/>
    </row>
    <row r="5" customHeight="1" spans="2:9">
      <c r="B5" s="11">
        <v>2</v>
      </c>
      <c r="C5" s="11"/>
      <c r="D5" s="11"/>
      <c r="E5" s="21"/>
      <c r="F5" s="11"/>
      <c r="G5" s="11"/>
      <c r="H5" s="21"/>
      <c r="I5" s="11"/>
    </row>
    <row r="6" customHeight="1" spans="2:9">
      <c r="B6" s="11">
        <v>3</v>
      </c>
      <c r="C6" s="11"/>
      <c r="D6" s="11"/>
      <c r="E6" s="21"/>
      <c r="F6" s="11"/>
      <c r="G6" s="11"/>
      <c r="H6" s="21"/>
      <c r="I6" s="11"/>
    </row>
    <row r="7" customHeight="1" spans="2:9">
      <c r="B7" s="11">
        <v>4</v>
      </c>
      <c r="C7" s="11"/>
      <c r="D7" s="11"/>
      <c r="E7" s="11"/>
      <c r="F7" s="11"/>
      <c r="G7" s="11"/>
      <c r="H7" s="11"/>
      <c r="I7" s="11"/>
    </row>
    <row r="8" customHeight="1" spans="2:9">
      <c r="B8" s="11">
        <v>5</v>
      </c>
      <c r="C8" s="11"/>
      <c r="D8" s="11"/>
      <c r="E8" s="11"/>
      <c r="F8" s="11"/>
      <c r="G8" s="11"/>
      <c r="H8" s="11"/>
      <c r="I8" s="11"/>
    </row>
    <row r="9" customHeight="1" spans="2:9">
      <c r="B9" s="11">
        <v>6</v>
      </c>
      <c r="C9" s="11"/>
      <c r="D9" s="11"/>
      <c r="E9" s="11"/>
      <c r="F9" s="11"/>
      <c r="G9" s="11"/>
      <c r="H9" s="11"/>
      <c r="I9" s="11"/>
    </row>
    <row r="10" customHeight="1" spans="2:9">
      <c r="B10" s="11">
        <v>7</v>
      </c>
      <c r="C10" s="11"/>
      <c r="D10" s="11"/>
      <c r="E10" s="21"/>
      <c r="F10" s="11"/>
      <c r="G10" s="11"/>
      <c r="H10" s="21"/>
      <c r="I10" s="11"/>
    </row>
    <row r="11" customHeight="1" spans="2:9">
      <c r="B11" s="11">
        <v>8</v>
      </c>
      <c r="C11" s="11"/>
      <c r="D11" s="11"/>
      <c r="E11" s="21"/>
      <c r="F11" s="11"/>
      <c r="G11" s="11"/>
      <c r="H11" s="21"/>
      <c r="I11" s="11"/>
    </row>
    <row r="12" customHeight="1" spans="2:9">
      <c r="B12" s="11">
        <v>9</v>
      </c>
      <c r="C12" s="11"/>
      <c r="D12" s="11"/>
      <c r="E12" s="11"/>
      <c r="F12" s="11"/>
      <c r="G12" s="11"/>
      <c r="H12" s="11"/>
      <c r="I12" s="11"/>
    </row>
    <row r="13" customHeight="1" spans="2:9">
      <c r="B13" s="11">
        <v>10</v>
      </c>
      <c r="C13" s="21"/>
      <c r="D13" s="11"/>
      <c r="E13" s="11"/>
      <c r="F13" s="11"/>
      <c r="G13" s="11"/>
      <c r="H13" s="11"/>
      <c r="I13" s="11"/>
    </row>
    <row r="14" s="1" customFormat="1" customHeight="1" spans="2:9">
      <c r="B14" s="14" t="s">
        <v>34</v>
      </c>
      <c r="C14" s="23"/>
      <c r="D14" s="14">
        <f>COUNTA(D4:D13)</f>
        <v>0</v>
      </c>
      <c r="E14" s="14"/>
      <c r="F14" s="14"/>
      <c r="G14" s="14"/>
      <c r="H14" s="14"/>
      <c r="I14" s="14"/>
    </row>
    <row r="16" customHeight="1" spans="2:2">
      <c r="B16" s="2" t="s">
        <v>35</v>
      </c>
    </row>
  </sheetData>
  <mergeCells count="1">
    <mergeCell ref="B2:I2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showGridLines="0" workbookViewId="0">
      <selection activeCell="B2" sqref="B2:J2"/>
    </sheetView>
  </sheetViews>
  <sheetFormatPr defaultColWidth="8.72727272727273" defaultRowHeight="25" customHeight="1"/>
  <cols>
    <col min="1" max="5" width="8.72727272727273" style="2"/>
    <col min="6" max="6" width="11.6363636363636" style="2" customWidth="1"/>
    <col min="7" max="8" width="8.72727272727273" style="2"/>
    <col min="9" max="9" width="11.6363636363636" style="2" customWidth="1"/>
    <col min="10" max="16384" width="8.72727272727273" style="2"/>
  </cols>
  <sheetData>
    <row r="2" ht="50" customHeight="1" spans="2:10">
      <c r="B2" s="3" t="s">
        <v>129</v>
      </c>
      <c r="C2" s="3"/>
      <c r="D2" s="3"/>
      <c r="E2" s="3"/>
      <c r="F2" s="3"/>
      <c r="G2" s="3"/>
      <c r="H2" s="3"/>
      <c r="I2" s="3"/>
      <c r="J2" s="3"/>
    </row>
    <row r="3" customHeight="1" spans="2:10">
      <c r="B3" s="18" t="s">
        <v>1</v>
      </c>
      <c r="C3" s="19" t="s">
        <v>6</v>
      </c>
      <c r="D3" s="19" t="s">
        <v>7</v>
      </c>
      <c r="E3" s="19" t="s">
        <v>130</v>
      </c>
      <c r="F3" s="19" t="s">
        <v>131</v>
      </c>
      <c r="G3" s="19" t="s">
        <v>115</v>
      </c>
      <c r="H3" s="20" t="s">
        <v>132</v>
      </c>
      <c r="I3" s="20" t="s">
        <v>133</v>
      </c>
      <c r="J3" s="25" t="s">
        <v>45</v>
      </c>
    </row>
    <row r="4" customHeight="1" spans="2:10">
      <c r="B4" s="11">
        <v>1</v>
      </c>
      <c r="C4" s="11"/>
      <c r="D4" s="21"/>
      <c r="E4" s="21"/>
      <c r="F4" s="21"/>
      <c r="G4" s="21"/>
      <c r="H4" s="11"/>
      <c r="I4" s="21"/>
      <c r="J4" s="21"/>
    </row>
    <row r="5" customHeight="1" spans="2:10">
      <c r="B5" s="11">
        <v>2</v>
      </c>
      <c r="C5" s="11"/>
      <c r="D5" s="21"/>
      <c r="E5" s="26"/>
      <c r="F5" s="21"/>
      <c r="G5" s="21"/>
      <c r="H5" s="11"/>
      <c r="I5" s="21"/>
      <c r="J5" s="21"/>
    </row>
    <row r="6" customHeight="1" spans="2:10">
      <c r="B6" s="11">
        <v>3</v>
      </c>
      <c r="C6" s="11"/>
      <c r="D6" s="21"/>
      <c r="E6" s="21"/>
      <c r="F6" s="21"/>
      <c r="G6" s="21"/>
      <c r="H6" s="11"/>
      <c r="I6" s="21"/>
      <c r="J6" s="21"/>
    </row>
    <row r="7" customHeight="1" spans="2:10">
      <c r="B7" s="11">
        <v>4</v>
      </c>
      <c r="C7" s="11"/>
      <c r="D7" s="21"/>
      <c r="E7" s="21"/>
      <c r="F7" s="21"/>
      <c r="G7" s="21"/>
      <c r="H7" s="11"/>
      <c r="I7" s="21"/>
      <c r="J7" s="21"/>
    </row>
    <row r="8" customHeight="1" spans="2:10">
      <c r="B8" s="11">
        <v>5</v>
      </c>
      <c r="C8" s="11"/>
      <c r="D8" s="11"/>
      <c r="E8" s="11"/>
      <c r="F8" s="11"/>
      <c r="G8" s="11"/>
      <c r="H8" s="38"/>
      <c r="I8" s="11"/>
      <c r="J8" s="42"/>
    </row>
    <row r="9" customHeight="1" spans="2:10">
      <c r="B9" s="11">
        <v>6</v>
      </c>
      <c r="C9" s="11"/>
      <c r="D9" s="39"/>
      <c r="E9" s="39"/>
      <c r="F9" s="39"/>
      <c r="G9" s="39"/>
      <c r="H9" s="11"/>
      <c r="I9" s="11"/>
      <c r="J9" s="42"/>
    </row>
    <row r="10" customHeight="1" spans="2:10">
      <c r="B10" s="11">
        <v>7</v>
      </c>
      <c r="C10" s="26"/>
      <c r="D10" s="26"/>
      <c r="E10" s="26"/>
      <c r="F10" s="26"/>
      <c r="G10" s="26"/>
      <c r="H10" s="26"/>
      <c r="I10" s="26"/>
      <c r="J10" s="43"/>
    </row>
    <row r="11" customHeight="1" spans="2:10">
      <c r="B11" s="11">
        <v>8</v>
      </c>
      <c r="C11" s="26"/>
      <c r="D11" s="26"/>
      <c r="E11" s="26"/>
      <c r="F11" s="26"/>
      <c r="G11" s="26"/>
      <c r="H11" s="26"/>
      <c r="I11" s="26"/>
      <c r="J11" s="43"/>
    </row>
    <row r="12" customHeight="1" spans="2:10">
      <c r="B12" s="11">
        <v>9</v>
      </c>
      <c r="C12" s="26"/>
      <c r="D12" s="26"/>
      <c r="E12" s="26"/>
      <c r="F12" s="26"/>
      <c r="G12" s="26"/>
      <c r="H12" s="26"/>
      <c r="I12" s="26"/>
      <c r="J12" s="43"/>
    </row>
    <row r="13" customHeight="1" spans="2:10">
      <c r="B13" s="11">
        <v>10</v>
      </c>
      <c r="C13" s="26"/>
      <c r="D13" s="26"/>
      <c r="E13" s="26"/>
      <c r="F13" s="26"/>
      <c r="G13" s="26"/>
      <c r="H13" s="26"/>
      <c r="I13" s="26"/>
      <c r="J13" s="43"/>
    </row>
    <row r="14" s="1" customFormat="1" customHeight="1" spans="2:10">
      <c r="B14" s="40" t="s">
        <v>34</v>
      </c>
      <c r="C14" s="41"/>
      <c r="D14" s="40">
        <f>COUNTA(D4:D13)</f>
        <v>0</v>
      </c>
      <c r="E14" s="41"/>
      <c r="F14" s="41"/>
      <c r="G14" s="41"/>
      <c r="H14" s="41"/>
      <c r="I14" s="41"/>
      <c r="J14" s="41"/>
    </row>
    <row r="16" customHeight="1" spans="2:2">
      <c r="B16" s="2" t="s">
        <v>35</v>
      </c>
    </row>
  </sheetData>
  <mergeCells count="1">
    <mergeCell ref="B2:J2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7"/>
  <sheetViews>
    <sheetView showGridLines="0" workbookViewId="0">
      <selection activeCell="B2" sqref="B2:K2"/>
    </sheetView>
  </sheetViews>
  <sheetFormatPr defaultColWidth="8.72727272727273" defaultRowHeight="25" customHeight="1"/>
  <cols>
    <col min="1" max="7" width="8.72727272727273" style="2"/>
    <col min="8" max="8" width="10.7272727272727" style="2" customWidth="1"/>
    <col min="9" max="16384" width="8.72727272727273" style="2"/>
  </cols>
  <sheetData>
    <row r="2" ht="50" customHeight="1" spans="2:11">
      <c r="B2" s="3" t="s">
        <v>134</v>
      </c>
      <c r="C2" s="3"/>
      <c r="D2" s="3"/>
      <c r="E2" s="3"/>
      <c r="F2" s="3"/>
      <c r="G2" s="3"/>
      <c r="H2" s="3"/>
      <c r="I2" s="3"/>
      <c r="J2" s="3"/>
      <c r="K2" s="3"/>
    </row>
    <row r="3" customHeight="1" spans="2:11">
      <c r="B3" s="28" t="s">
        <v>1</v>
      </c>
      <c r="C3" s="29" t="s">
        <v>3</v>
      </c>
      <c r="D3" s="29" t="s">
        <v>6</v>
      </c>
      <c r="E3" s="29" t="s">
        <v>4</v>
      </c>
      <c r="F3" s="29" t="s">
        <v>7</v>
      </c>
      <c r="G3" s="30" t="s">
        <v>135</v>
      </c>
      <c r="H3" s="29" t="s">
        <v>136</v>
      </c>
      <c r="I3" s="30" t="s">
        <v>137</v>
      </c>
      <c r="J3" s="37"/>
      <c r="K3" s="16" t="s">
        <v>45</v>
      </c>
    </row>
    <row r="4" customHeight="1" spans="2:11">
      <c r="B4" s="31"/>
      <c r="C4" s="32"/>
      <c r="D4" s="32"/>
      <c r="E4" s="36"/>
      <c r="F4" s="36"/>
      <c r="G4" s="34"/>
      <c r="H4" s="36"/>
      <c r="I4" s="34" t="s">
        <v>138</v>
      </c>
      <c r="J4" s="34" t="s">
        <v>139</v>
      </c>
      <c r="K4" s="17"/>
    </row>
    <row r="5" customHeight="1" spans="2:11">
      <c r="B5" s="11">
        <v>1</v>
      </c>
      <c r="C5" s="11"/>
      <c r="D5" s="11"/>
      <c r="E5" s="11"/>
      <c r="F5" s="11"/>
      <c r="G5" s="11"/>
      <c r="H5" s="11"/>
      <c r="I5" s="11"/>
      <c r="J5" s="11"/>
      <c r="K5" s="11"/>
    </row>
    <row r="6" customHeight="1" spans="2:11">
      <c r="B6" s="11">
        <v>2</v>
      </c>
      <c r="C6" s="11"/>
      <c r="D6" s="11"/>
      <c r="E6" s="11"/>
      <c r="F6" s="11"/>
      <c r="G6" s="11"/>
      <c r="H6" s="11"/>
      <c r="I6" s="11"/>
      <c r="J6" s="11"/>
      <c r="K6" s="11"/>
    </row>
    <row r="7" customHeight="1" spans="2:11">
      <c r="B7" s="11">
        <v>3</v>
      </c>
      <c r="C7" s="11"/>
      <c r="D7" s="11"/>
      <c r="E7" s="11"/>
      <c r="F7" s="11"/>
      <c r="G7" s="11"/>
      <c r="H7" s="11"/>
      <c r="I7" s="11"/>
      <c r="J7" s="11"/>
      <c r="K7" s="11"/>
    </row>
    <row r="8" customHeight="1" spans="2:11">
      <c r="B8" s="11">
        <v>4</v>
      </c>
      <c r="C8" s="11"/>
      <c r="D8" s="11"/>
      <c r="E8" s="11"/>
      <c r="F8" s="11"/>
      <c r="G8" s="11"/>
      <c r="H8" s="11"/>
      <c r="I8" s="11"/>
      <c r="J8" s="11"/>
      <c r="K8" s="11"/>
    </row>
    <row r="9" customHeight="1" spans="2:11">
      <c r="B9" s="11">
        <v>5</v>
      </c>
      <c r="C9" s="11"/>
      <c r="D9" s="11"/>
      <c r="E9" s="11"/>
      <c r="F9" s="11"/>
      <c r="G9" s="11"/>
      <c r="H9" s="11"/>
      <c r="I9" s="11"/>
      <c r="J9" s="11"/>
      <c r="K9" s="11"/>
    </row>
    <row r="10" customHeight="1" spans="2:11">
      <c r="B10" s="11">
        <v>6</v>
      </c>
      <c r="C10" s="11"/>
      <c r="D10" s="11"/>
      <c r="E10" s="11"/>
      <c r="F10" s="11"/>
      <c r="G10" s="11"/>
      <c r="H10" s="11"/>
      <c r="I10" s="11"/>
      <c r="J10" s="11"/>
      <c r="K10" s="11"/>
    </row>
    <row r="11" customHeight="1" spans="2:11">
      <c r="B11" s="11">
        <v>7</v>
      </c>
      <c r="C11" s="11"/>
      <c r="D11" s="11"/>
      <c r="E11" s="11"/>
      <c r="F11" s="11"/>
      <c r="G11" s="11"/>
      <c r="H11" s="11"/>
      <c r="I11" s="11"/>
      <c r="J11" s="11"/>
      <c r="K11" s="11"/>
    </row>
    <row r="12" customHeight="1" spans="2:11">
      <c r="B12" s="11">
        <v>8</v>
      </c>
      <c r="C12" s="11"/>
      <c r="D12" s="11"/>
      <c r="E12" s="11"/>
      <c r="F12" s="11"/>
      <c r="G12" s="11"/>
      <c r="H12" s="11"/>
      <c r="I12" s="11"/>
      <c r="J12" s="11"/>
      <c r="K12" s="11"/>
    </row>
    <row r="13" customHeight="1" spans="2:11">
      <c r="B13" s="11">
        <v>9</v>
      </c>
      <c r="C13" s="11"/>
      <c r="D13" s="11"/>
      <c r="E13" s="11"/>
      <c r="F13" s="11"/>
      <c r="G13" s="11"/>
      <c r="H13" s="11"/>
      <c r="I13" s="11"/>
      <c r="J13" s="11"/>
      <c r="K13" s="11"/>
    </row>
    <row r="14" customHeight="1" spans="2:11">
      <c r="B14" s="11">
        <v>10</v>
      </c>
      <c r="C14" s="11"/>
      <c r="D14" s="11"/>
      <c r="E14" s="11"/>
      <c r="F14" s="11"/>
      <c r="G14" s="11"/>
      <c r="H14" s="11"/>
      <c r="I14" s="11"/>
      <c r="J14" s="11"/>
      <c r="K14" s="11"/>
    </row>
    <row r="15" s="1" customFormat="1" customHeight="1" spans="2:11">
      <c r="B15" s="14" t="s">
        <v>34</v>
      </c>
      <c r="C15" s="14"/>
      <c r="D15" s="14">
        <f>COUNTA(D5:D14)</f>
        <v>0</v>
      </c>
      <c r="E15" s="14"/>
      <c r="F15" s="14"/>
      <c r="G15" s="14"/>
      <c r="H15" s="14"/>
      <c r="I15" s="14"/>
      <c r="J15" s="14"/>
      <c r="K15" s="14"/>
    </row>
    <row r="17" customHeight="1" spans="2:2">
      <c r="B17" s="2" t="s">
        <v>35</v>
      </c>
    </row>
  </sheetData>
  <mergeCells count="10">
    <mergeCell ref="B2:K2"/>
    <mergeCell ref="I3:J3"/>
    <mergeCell ref="B3:B4"/>
    <mergeCell ref="C3:C4"/>
    <mergeCell ref="D3:D4"/>
    <mergeCell ref="E3:E4"/>
    <mergeCell ref="F3:F4"/>
    <mergeCell ref="G3:G4"/>
    <mergeCell ref="H3:H4"/>
    <mergeCell ref="K3:K4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7"/>
  <sheetViews>
    <sheetView showGridLines="0" workbookViewId="0">
      <selection activeCell="B2" sqref="B2:K2"/>
    </sheetView>
  </sheetViews>
  <sheetFormatPr defaultColWidth="8.72727272727273" defaultRowHeight="25" customHeight="1"/>
  <cols>
    <col min="1" max="6" width="8.72727272727273" style="2"/>
    <col min="7" max="8" width="10.4545454545455" style="2" customWidth="1"/>
    <col min="9" max="16384" width="8.72727272727273" style="2"/>
  </cols>
  <sheetData>
    <row r="2" ht="50" customHeight="1" spans="2:11">
      <c r="B2" s="3" t="s">
        <v>140</v>
      </c>
      <c r="C2" s="3"/>
      <c r="D2" s="3"/>
      <c r="E2" s="3"/>
      <c r="F2" s="3"/>
      <c r="G2" s="3"/>
      <c r="H2" s="3"/>
      <c r="I2" s="3"/>
      <c r="J2" s="3"/>
      <c r="K2" s="3"/>
    </row>
    <row r="3" customHeight="1" spans="2:11">
      <c r="B3" s="28" t="s">
        <v>1</v>
      </c>
      <c r="C3" s="29" t="s">
        <v>3</v>
      </c>
      <c r="D3" s="29" t="s">
        <v>6</v>
      </c>
      <c r="E3" s="29" t="s">
        <v>4</v>
      </c>
      <c r="F3" s="29" t="s">
        <v>7</v>
      </c>
      <c r="G3" s="29" t="s">
        <v>136</v>
      </c>
      <c r="H3" s="30" t="s">
        <v>141</v>
      </c>
      <c r="I3" s="30" t="s">
        <v>137</v>
      </c>
      <c r="J3" s="30"/>
      <c r="K3" s="16" t="s">
        <v>45</v>
      </c>
    </row>
    <row r="4" customHeight="1" spans="2:11">
      <c r="B4" s="31"/>
      <c r="C4" s="32"/>
      <c r="D4" s="32"/>
      <c r="E4" s="32"/>
      <c r="F4" s="32"/>
      <c r="G4" s="32"/>
      <c r="H4" s="33"/>
      <c r="I4" s="34" t="s">
        <v>138</v>
      </c>
      <c r="J4" s="9" t="s">
        <v>139</v>
      </c>
      <c r="K4" s="35"/>
    </row>
    <row r="5" customHeight="1" spans="2:11">
      <c r="B5" s="11">
        <v>1</v>
      </c>
      <c r="C5" s="11"/>
      <c r="D5" s="11"/>
      <c r="E5" s="21"/>
      <c r="F5" s="11"/>
      <c r="G5" s="11"/>
      <c r="H5" s="11"/>
      <c r="I5" s="11"/>
      <c r="J5" s="11"/>
      <c r="K5" s="11"/>
    </row>
    <row r="6" customHeight="1" spans="2:11">
      <c r="B6" s="11">
        <v>2</v>
      </c>
      <c r="C6" s="11"/>
      <c r="D6" s="11"/>
      <c r="E6" s="21"/>
      <c r="F6" s="11"/>
      <c r="G6" s="11"/>
      <c r="H6" s="11"/>
      <c r="I6" s="11"/>
      <c r="J6" s="11"/>
      <c r="K6" s="11"/>
    </row>
    <row r="7" customHeight="1" spans="2:11">
      <c r="B7" s="11">
        <v>3</v>
      </c>
      <c r="C7" s="11"/>
      <c r="D7" s="11"/>
      <c r="E7" s="21"/>
      <c r="F7" s="11"/>
      <c r="G7" s="11"/>
      <c r="H7" s="11"/>
      <c r="I7" s="11"/>
      <c r="J7" s="11"/>
      <c r="K7" s="11"/>
    </row>
    <row r="8" customHeight="1" spans="2:11">
      <c r="B8" s="11">
        <v>4</v>
      </c>
      <c r="C8" s="11"/>
      <c r="D8" s="11"/>
      <c r="E8" s="21"/>
      <c r="F8" s="11"/>
      <c r="G8" s="11"/>
      <c r="H8" s="11"/>
      <c r="I8" s="11"/>
      <c r="J8" s="11"/>
      <c r="K8" s="11"/>
    </row>
    <row r="9" customHeight="1" spans="2:11">
      <c r="B9" s="11">
        <v>5</v>
      </c>
      <c r="C9" s="11"/>
      <c r="D9" s="11"/>
      <c r="E9" s="21"/>
      <c r="F9" s="11"/>
      <c r="G9" s="11"/>
      <c r="H9" s="11"/>
      <c r="I9" s="11"/>
      <c r="J9" s="11"/>
      <c r="K9" s="11"/>
    </row>
    <row r="10" customHeight="1" spans="2:11">
      <c r="B10" s="11">
        <v>6</v>
      </c>
      <c r="C10" s="11"/>
      <c r="D10" s="11"/>
      <c r="E10" s="21"/>
      <c r="F10" s="11"/>
      <c r="G10" s="11"/>
      <c r="H10" s="11"/>
      <c r="I10" s="11"/>
      <c r="J10" s="11"/>
      <c r="K10" s="11"/>
    </row>
    <row r="11" customHeight="1" spans="2:11">
      <c r="B11" s="11">
        <v>7</v>
      </c>
      <c r="C11" s="11"/>
      <c r="D11" s="11"/>
      <c r="E11" s="21"/>
      <c r="F11" s="11"/>
      <c r="G11" s="11"/>
      <c r="H11" s="11"/>
      <c r="I11" s="11"/>
      <c r="J11" s="11"/>
      <c r="K11" s="11"/>
    </row>
    <row r="12" customHeight="1" spans="2:11">
      <c r="B12" s="11">
        <v>8</v>
      </c>
      <c r="C12" s="11"/>
      <c r="D12" s="11"/>
      <c r="E12" s="21"/>
      <c r="F12" s="11"/>
      <c r="G12" s="11"/>
      <c r="H12" s="11"/>
      <c r="I12" s="11"/>
      <c r="J12" s="11"/>
      <c r="K12" s="11"/>
    </row>
    <row r="13" customHeight="1" spans="2:11">
      <c r="B13" s="11">
        <v>9</v>
      </c>
      <c r="C13" s="11"/>
      <c r="D13" s="11"/>
      <c r="E13" s="21"/>
      <c r="F13" s="11"/>
      <c r="G13" s="11"/>
      <c r="H13" s="11"/>
      <c r="I13" s="11"/>
      <c r="J13" s="11"/>
      <c r="K13" s="11"/>
    </row>
    <row r="14" customHeight="1" spans="2:11">
      <c r="B14" s="11">
        <v>10</v>
      </c>
      <c r="C14" s="11"/>
      <c r="D14" s="11"/>
      <c r="E14" s="21"/>
      <c r="F14" s="11"/>
      <c r="G14" s="11"/>
      <c r="H14" s="11"/>
      <c r="I14" s="11"/>
      <c r="J14" s="11"/>
      <c r="K14" s="11"/>
    </row>
    <row r="15" s="1" customFormat="1" customHeight="1" spans="2:11">
      <c r="B15" s="14" t="s">
        <v>34</v>
      </c>
      <c r="C15" s="14"/>
      <c r="D15" s="14">
        <f>COUNTA(D5:D14)</f>
        <v>0</v>
      </c>
      <c r="E15" s="23"/>
      <c r="F15" s="14"/>
      <c r="G15" s="14"/>
      <c r="H15" s="14"/>
      <c r="I15" s="14"/>
      <c r="J15" s="14"/>
      <c r="K15" s="14"/>
    </row>
    <row r="17" customHeight="1" spans="2:2">
      <c r="B17" s="2" t="s">
        <v>35</v>
      </c>
    </row>
  </sheetData>
  <mergeCells count="10">
    <mergeCell ref="B2:K2"/>
    <mergeCell ref="I3:J3"/>
    <mergeCell ref="B3:B4"/>
    <mergeCell ref="C3:C4"/>
    <mergeCell ref="D3:D4"/>
    <mergeCell ref="E3:E4"/>
    <mergeCell ref="F3:F4"/>
    <mergeCell ref="G3:G4"/>
    <mergeCell ref="H3:H4"/>
    <mergeCell ref="K3:K4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showGridLines="0" workbookViewId="0">
      <selection activeCell="B2" sqref="B2:K2"/>
    </sheetView>
  </sheetViews>
  <sheetFormatPr defaultColWidth="8.72727272727273" defaultRowHeight="25" customHeight="1"/>
  <cols>
    <col min="1" max="16384" width="8.72727272727273" style="2"/>
  </cols>
  <sheetData>
    <row r="2" ht="50" customHeight="1" spans="2:11">
      <c r="B2" s="3" t="s">
        <v>142</v>
      </c>
      <c r="C2" s="3"/>
      <c r="D2" s="3"/>
      <c r="E2" s="3"/>
      <c r="F2" s="3"/>
      <c r="G2" s="3"/>
      <c r="H2" s="3"/>
      <c r="I2" s="3"/>
      <c r="J2" s="3"/>
      <c r="K2" s="3"/>
    </row>
    <row r="3" customHeight="1" spans="2:11">
      <c r="B3" s="18" t="s">
        <v>1</v>
      </c>
      <c r="C3" s="19" t="s">
        <v>3</v>
      </c>
      <c r="D3" s="19" t="s">
        <v>6</v>
      </c>
      <c r="E3" s="19" t="s">
        <v>4</v>
      </c>
      <c r="F3" s="19" t="s">
        <v>7</v>
      </c>
      <c r="G3" s="19" t="s">
        <v>115</v>
      </c>
      <c r="H3" s="20" t="s">
        <v>143</v>
      </c>
      <c r="I3" s="20" t="s">
        <v>144</v>
      </c>
      <c r="J3" s="20" t="s">
        <v>145</v>
      </c>
      <c r="K3" s="25" t="s">
        <v>45</v>
      </c>
    </row>
    <row r="4" customHeight="1" spans="2:11">
      <c r="B4" s="11">
        <v>1</v>
      </c>
      <c r="C4" s="11"/>
      <c r="D4" s="21"/>
      <c r="E4" s="21"/>
      <c r="F4" s="11"/>
      <c r="G4" s="21"/>
      <c r="H4" s="11"/>
      <c r="I4" s="11"/>
      <c r="J4" s="11"/>
      <c r="K4" s="26"/>
    </row>
    <row r="5" customHeight="1" spans="2:11">
      <c r="B5" s="11">
        <v>2</v>
      </c>
      <c r="C5" s="11"/>
      <c r="D5" s="21"/>
      <c r="E5" s="11"/>
      <c r="F5" s="11"/>
      <c r="G5" s="21"/>
      <c r="H5" s="11"/>
      <c r="I5" s="11"/>
      <c r="J5" s="11"/>
      <c r="K5" s="26"/>
    </row>
    <row r="6" customHeight="1" spans="2:11">
      <c r="B6" s="11">
        <v>3</v>
      </c>
      <c r="C6" s="11"/>
      <c r="D6" s="21"/>
      <c r="E6" s="21"/>
      <c r="F6" s="11"/>
      <c r="G6" s="21"/>
      <c r="H6" s="22"/>
      <c r="I6" s="22"/>
      <c r="J6" s="11"/>
      <c r="K6" s="26"/>
    </row>
    <row r="7" customHeight="1" spans="2:11">
      <c r="B7" s="11">
        <v>4</v>
      </c>
      <c r="C7" s="11"/>
      <c r="D7" s="21"/>
      <c r="E7" s="21"/>
      <c r="F7" s="11"/>
      <c r="G7" s="21"/>
      <c r="H7" s="22"/>
      <c r="I7" s="22"/>
      <c r="J7" s="11"/>
      <c r="K7" s="26"/>
    </row>
    <row r="8" customHeight="1" spans="2:11">
      <c r="B8" s="11">
        <v>5</v>
      </c>
      <c r="C8" s="11"/>
      <c r="D8" s="21"/>
      <c r="E8" s="21"/>
      <c r="F8" s="11"/>
      <c r="G8" s="21"/>
      <c r="H8" s="22"/>
      <c r="I8" s="22"/>
      <c r="J8" s="11"/>
      <c r="K8" s="26"/>
    </row>
    <row r="9" customHeight="1" spans="2:11">
      <c r="B9" s="11">
        <v>6</v>
      </c>
      <c r="C9" s="11"/>
      <c r="D9" s="21"/>
      <c r="E9" s="21"/>
      <c r="F9" s="11"/>
      <c r="G9" s="21"/>
      <c r="H9" s="22"/>
      <c r="I9" s="22"/>
      <c r="J9" s="11"/>
      <c r="K9" s="26"/>
    </row>
    <row r="10" customHeight="1" spans="2:11">
      <c r="B10" s="11">
        <v>7</v>
      </c>
      <c r="C10" s="11"/>
      <c r="D10" s="21"/>
      <c r="E10" s="21"/>
      <c r="F10" s="11"/>
      <c r="G10" s="21"/>
      <c r="H10" s="22"/>
      <c r="I10" s="22"/>
      <c r="J10" s="11"/>
      <c r="K10" s="26"/>
    </row>
    <row r="11" customHeight="1" spans="2:11">
      <c r="B11" s="11">
        <v>8</v>
      </c>
      <c r="C11" s="11"/>
      <c r="D11" s="21"/>
      <c r="E11" s="21"/>
      <c r="F11" s="11"/>
      <c r="G11" s="21"/>
      <c r="H11" s="22"/>
      <c r="I11" s="22"/>
      <c r="J11" s="11"/>
      <c r="K11" s="26"/>
    </row>
    <row r="12" customHeight="1" spans="2:11">
      <c r="B12" s="11">
        <v>9</v>
      </c>
      <c r="C12" s="11"/>
      <c r="D12" s="21"/>
      <c r="E12" s="21"/>
      <c r="F12" s="11"/>
      <c r="G12" s="21"/>
      <c r="H12" s="22"/>
      <c r="I12" s="22"/>
      <c r="J12" s="11"/>
      <c r="K12" s="26"/>
    </row>
    <row r="13" customHeight="1" spans="2:11">
      <c r="B13" s="11">
        <v>10</v>
      </c>
      <c r="C13" s="11"/>
      <c r="D13" s="21"/>
      <c r="E13" s="21"/>
      <c r="F13" s="11"/>
      <c r="G13" s="21"/>
      <c r="H13" s="22"/>
      <c r="I13" s="22"/>
      <c r="J13" s="11"/>
      <c r="K13" s="26"/>
    </row>
    <row r="14" s="1" customFormat="1" customHeight="1" spans="2:11">
      <c r="B14" s="14" t="s">
        <v>34</v>
      </c>
      <c r="C14" s="14"/>
      <c r="D14" s="23">
        <f>COUNTA(D4:D13)</f>
        <v>0</v>
      </c>
      <c r="E14" s="23"/>
      <c r="F14" s="14"/>
      <c r="G14" s="23"/>
      <c r="H14" s="24"/>
      <c r="I14" s="24"/>
      <c r="J14" s="14"/>
      <c r="K14" s="27"/>
    </row>
    <row r="16" customHeight="1" spans="2:2">
      <c r="B16" s="2" t="s">
        <v>35</v>
      </c>
    </row>
  </sheetData>
  <mergeCells count="1">
    <mergeCell ref="B2:K2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7"/>
  <sheetViews>
    <sheetView showGridLines="0" workbookViewId="0">
      <selection activeCell="AC10" sqref="AC10"/>
    </sheetView>
  </sheetViews>
  <sheetFormatPr defaultColWidth="8.72727272727273" defaultRowHeight="25" customHeight="1"/>
  <cols>
    <col min="1" max="1" width="8.72727272727273" style="2"/>
    <col min="2" max="2" width="10.7272727272727" style="2"/>
    <col min="3" max="16" width="8.63636363636364" style="2" customWidth="1"/>
    <col min="17" max="17" width="12.8181818181818" style="2" customWidth="1"/>
    <col min="18" max="16384" width="8.72727272727273" style="2"/>
  </cols>
  <sheetData>
    <row r="2" ht="50" customHeight="1" spans="2:17">
      <c r="B2" s="3" t="s">
        <v>146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Height="1" spans="2:17">
      <c r="B3" s="4" t="s">
        <v>147</v>
      </c>
      <c r="C3" s="5" t="s">
        <v>148</v>
      </c>
      <c r="D3" s="5"/>
      <c r="E3" s="5" t="s">
        <v>149</v>
      </c>
      <c r="F3" s="5"/>
      <c r="G3" s="5"/>
      <c r="H3" s="6" t="s">
        <v>150</v>
      </c>
      <c r="I3" s="6" t="s">
        <v>151</v>
      </c>
      <c r="J3" s="6" t="s">
        <v>152</v>
      </c>
      <c r="K3" s="5" t="s">
        <v>153</v>
      </c>
      <c r="L3" s="5"/>
      <c r="M3" s="5"/>
      <c r="N3" s="5"/>
      <c r="O3" s="5"/>
      <c r="P3" s="5"/>
      <c r="Q3" s="16" t="s">
        <v>154</v>
      </c>
    </row>
    <row r="4" customHeight="1" spans="2:17">
      <c r="B4" s="7"/>
      <c r="C4" s="8" t="s">
        <v>118</v>
      </c>
      <c r="D4" s="8" t="s">
        <v>155</v>
      </c>
      <c r="E4" s="8" t="s">
        <v>118</v>
      </c>
      <c r="F4" s="8" t="s">
        <v>156</v>
      </c>
      <c r="G4" s="8" t="s">
        <v>157</v>
      </c>
      <c r="H4" s="9"/>
      <c r="I4" s="9"/>
      <c r="J4" s="9"/>
      <c r="K4" s="8" t="s">
        <v>158</v>
      </c>
      <c r="L4" s="8" t="s">
        <v>159</v>
      </c>
      <c r="M4" s="8" t="s">
        <v>160</v>
      </c>
      <c r="N4" s="8" t="s">
        <v>161</v>
      </c>
      <c r="O4" s="8" t="s">
        <v>162</v>
      </c>
      <c r="P4" s="8" t="s">
        <v>60</v>
      </c>
      <c r="Q4" s="17"/>
    </row>
    <row r="5" customHeight="1" spans="2:17">
      <c r="B5" s="10">
        <v>45292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5">
        <f>SUM(C5:P5)</f>
        <v>0</v>
      </c>
    </row>
    <row r="6" customHeight="1" spans="2:17">
      <c r="B6" s="10"/>
      <c r="C6" s="11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>
        <f t="shared" ref="Q6:Q14" si="0">SUM(C6:P6)</f>
        <v>0</v>
      </c>
    </row>
    <row r="7" customHeight="1" spans="2:17">
      <c r="B7" s="10"/>
      <c r="C7" s="11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5">
        <f t="shared" si="0"/>
        <v>0</v>
      </c>
    </row>
    <row r="8" customHeight="1" spans="2:17">
      <c r="B8" s="10"/>
      <c r="C8" s="11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5">
        <f t="shared" si="0"/>
        <v>0</v>
      </c>
    </row>
    <row r="9" customHeight="1" spans="2:17">
      <c r="B9" s="10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>
        <f t="shared" si="0"/>
        <v>0</v>
      </c>
    </row>
    <row r="10" customHeight="1" spans="2:17">
      <c r="B10" s="10"/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5">
        <f t="shared" si="0"/>
        <v>0</v>
      </c>
    </row>
    <row r="11" customHeight="1" spans="2:17">
      <c r="B11" s="10"/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5">
        <f t="shared" si="0"/>
        <v>0</v>
      </c>
    </row>
    <row r="12" customHeight="1" spans="2:17">
      <c r="B12" s="10"/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5">
        <f t="shared" si="0"/>
        <v>0</v>
      </c>
    </row>
    <row r="13" customHeight="1" spans="2:17">
      <c r="B13" s="10"/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5">
        <f t="shared" si="0"/>
        <v>0</v>
      </c>
    </row>
    <row r="14" customHeight="1" spans="2:17">
      <c r="B14" s="10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5">
        <f t="shared" si="0"/>
        <v>0</v>
      </c>
    </row>
    <row r="15" s="1" customFormat="1" customHeight="1" spans="2:17">
      <c r="B15" s="14" t="s">
        <v>34</v>
      </c>
      <c r="C15" s="14"/>
      <c r="D15" s="15">
        <f>SUM(D5:D14)</f>
        <v>0</v>
      </c>
      <c r="E15" s="15">
        <f t="shared" ref="E15:Q15" si="1">SUM(E5:E14)</f>
        <v>0</v>
      </c>
      <c r="F15" s="15">
        <f t="shared" si="1"/>
        <v>0</v>
      </c>
      <c r="G15" s="15">
        <f t="shared" si="1"/>
        <v>0</v>
      </c>
      <c r="H15" s="15">
        <f t="shared" si="1"/>
        <v>0</v>
      </c>
      <c r="I15" s="15">
        <f t="shared" si="1"/>
        <v>0</v>
      </c>
      <c r="J15" s="15">
        <f t="shared" si="1"/>
        <v>0</v>
      </c>
      <c r="K15" s="15">
        <f t="shared" si="1"/>
        <v>0</v>
      </c>
      <c r="L15" s="15">
        <f t="shared" si="1"/>
        <v>0</v>
      </c>
      <c r="M15" s="15">
        <f t="shared" si="1"/>
        <v>0</v>
      </c>
      <c r="N15" s="15">
        <f t="shared" si="1"/>
        <v>0</v>
      </c>
      <c r="O15" s="15">
        <f t="shared" si="1"/>
        <v>0</v>
      </c>
      <c r="P15" s="15">
        <f t="shared" si="1"/>
        <v>0</v>
      </c>
      <c r="Q15" s="15">
        <f t="shared" si="1"/>
        <v>0</v>
      </c>
    </row>
    <row r="17" customHeight="1" spans="2:2">
      <c r="B17" s="2" t="s">
        <v>35</v>
      </c>
    </row>
  </sheetData>
  <mergeCells count="9">
    <mergeCell ref="B2:Q2"/>
    <mergeCell ref="C3:D3"/>
    <mergeCell ref="E3:G3"/>
    <mergeCell ref="K3:P3"/>
    <mergeCell ref="B3:B4"/>
    <mergeCell ref="H3:H4"/>
    <mergeCell ref="I3:I4"/>
    <mergeCell ref="J3:J4"/>
    <mergeCell ref="Q3:Q4"/>
  </mergeCells>
  <pageMargins left="0.75" right="0.75" top="1" bottom="1" header="0.5" footer="0.5"/>
  <headerFooter/>
  <ignoredErrors>
    <ignoredError sqref="Q5:Q1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目录</vt:lpstr>
      <vt:lpstr>1-员工基本信息</vt:lpstr>
      <vt:lpstr>2-人员类别明细</vt:lpstr>
      <vt:lpstr>3-员工情况统计</vt:lpstr>
      <vt:lpstr>4-招聘信息明细</vt:lpstr>
      <vt:lpstr>5-员工到岗统计</vt:lpstr>
      <vt:lpstr>6-员工入职明细</vt:lpstr>
      <vt:lpstr>7-员工培训明细</vt:lpstr>
      <vt:lpstr>8-员工转正明细</vt:lpstr>
      <vt:lpstr>9-员工任命明细</vt:lpstr>
      <vt:lpstr>10-员工签订合同</vt:lpstr>
      <vt:lpstr>11-员工续签合同</vt:lpstr>
      <vt:lpstr>12-员工离职明细</vt:lpstr>
      <vt:lpstr>13-人事费用明细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徐云峰</cp:lastModifiedBy>
  <dcterms:created xsi:type="dcterms:W3CDTF">2023-05-12T11:15:00Z</dcterms:created>
  <dcterms:modified xsi:type="dcterms:W3CDTF">2024-09-02T12:28:27Z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4DC1F48C39564A11AB584318D0A59F3D_12</vt:lpwstr>
  </property>
</Properties>
</file>