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<sst xmlns="http://schemas.openxmlformats.org/spreadsheetml/2006/main" count="281" uniqueCount="33">
  <si>
    <t>XXX公司考勤表</t>
  </si>
  <si>
    <t>本月应出勤人数：</t>
  </si>
  <si>
    <t>应出勤天数：</t>
  </si>
  <si>
    <t>出勤天数：</t>
  </si>
  <si>
    <t>出差天数：</t>
  </si>
  <si>
    <t>出勤率</t>
  </si>
  <si>
    <t>公司名称：</t>
  </si>
  <si>
    <t>考勤员：</t>
  </si>
  <si>
    <t>考勤符号：出勤√    旷工×   请假●   出差□  产假○  年假■</t>
  </si>
  <si>
    <t>年</t>
  </si>
  <si>
    <t>月</t>
  </si>
  <si>
    <t xml:space="preserve">    星期
 日期</t>
  </si>
  <si>
    <t>出勤</t>
  </si>
  <si>
    <t>旷工</t>
  </si>
  <si>
    <t>请假</t>
  </si>
  <si>
    <t>出差</t>
  </si>
  <si>
    <t>产假</t>
  </si>
  <si>
    <t>年假</t>
  </si>
  <si>
    <t>备注</t>
  </si>
  <si>
    <t>√</t>
  </si>
  <si>
    <t>×</t>
  </si>
  <si>
    <t>●</t>
  </si>
  <si>
    <t>□</t>
  </si>
  <si>
    <t>○</t>
  </si>
  <si>
    <t>■</t>
  </si>
  <si>
    <t>小小1</t>
  </si>
  <si>
    <t>小小2</t>
  </si>
  <si>
    <t>小小3</t>
  </si>
  <si>
    <t>小小4</t>
  </si>
  <si>
    <t>小小5</t>
  </si>
  <si>
    <t>小小6</t>
  </si>
  <si>
    <t>小小7</t>
  </si>
  <si>
    <t>小小8</t>
  </si>
</sst>
</file>

<file path=xl/styles.xml><?xml version="1.0" encoding="utf-8"?>
<styleSheet xmlns="http://schemas.openxmlformats.org/spreadsheetml/2006/main">
  <numFmts count="7">
    <numFmt numFmtId="176" formatCode="0.0%"/>
    <numFmt numFmtId="177" formatCode="d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8" formatCode="0.00_ "/>
    <numFmt numFmtId="43" formatCode="_ * #,##0.00_ ;_ * \-#,##0.00_ ;_ * &quot;-&quot;??_ ;_ @_ "/>
  </numFmts>
  <fonts count="29">
    <font>
      <sz val="11"/>
      <color theme="1"/>
      <name val="宋体"/>
      <charset val="134"/>
      <scheme val="minor"/>
    </font>
    <font>
      <sz val="12"/>
      <name val="黑体"/>
      <charset val="134"/>
    </font>
    <font>
      <sz val="24"/>
      <name val="黑体"/>
      <charset val="134"/>
    </font>
    <font>
      <b/>
      <sz val="26"/>
      <name val="黑体"/>
      <charset val="134"/>
    </font>
    <font>
      <b/>
      <sz val="12"/>
      <name val="黑体"/>
      <charset val="134"/>
    </font>
    <font>
      <b/>
      <sz val="14"/>
      <name val="黑体"/>
      <charset val="134"/>
    </font>
    <font>
      <b/>
      <sz val="12"/>
      <color theme="0"/>
      <name val="黑体"/>
      <charset val="134"/>
    </font>
    <font>
      <b/>
      <u val="double"/>
      <sz val="12"/>
      <name val="黑体"/>
      <charset val="134"/>
    </font>
    <font>
      <sz val="11"/>
      <color theme="0"/>
      <name val="黑体"/>
      <charset val="134"/>
    </font>
    <font>
      <u val="double"/>
      <sz val="11"/>
      <color theme="0"/>
      <name val="黑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9596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1" tint="0.25"/>
      </left>
      <right/>
      <top style="thin">
        <color theme="1" tint="0.25"/>
      </top>
      <bottom style="thin">
        <color theme="2" tint="-0.75"/>
      </bottom>
      <diagonal/>
    </border>
    <border>
      <left/>
      <right/>
      <top style="thin">
        <color theme="1" tint="0.25"/>
      </top>
      <bottom/>
      <diagonal/>
    </border>
    <border>
      <left style="thin">
        <color theme="1" tint="0.25"/>
      </left>
      <right style="thin">
        <color theme="0"/>
      </right>
      <top style="thin">
        <color theme="2" tint="-0.75"/>
      </top>
      <bottom style="thin">
        <color theme="2" tint="-0.75"/>
      </bottom>
      <diagonal/>
    </border>
    <border>
      <left/>
      <right style="thin">
        <color theme="0"/>
      </right>
      <top style="thin">
        <color theme="2" tint="-0.75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2" tint="-0.75"/>
      </top>
      <bottom style="thin">
        <color theme="0"/>
      </bottom>
      <diagonal/>
    </border>
    <border>
      <left style="thin">
        <color theme="1" tint="0.25"/>
      </left>
      <right style="thin">
        <color theme="0"/>
      </right>
      <top style="thin">
        <color theme="2" tint="-0.75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1" tint="0.35"/>
      </left>
      <right style="thin">
        <color theme="1" tint="0.35"/>
      </right>
      <top style="thin">
        <color theme="1" tint="0.35"/>
      </top>
      <bottom style="thin">
        <color theme="1" tint="0.35"/>
      </bottom>
      <diagonal/>
    </border>
    <border>
      <left/>
      <right/>
      <top style="thin">
        <color theme="1" tint="0.25"/>
      </top>
      <bottom style="thin">
        <color theme="2" tint="-0.75"/>
      </bottom>
      <diagonal/>
    </border>
    <border>
      <left/>
      <right style="thin">
        <color theme="1" tint="0.25"/>
      </right>
      <top style="thin">
        <color theme="1" tint="0.25"/>
      </top>
      <bottom style="thin">
        <color theme="2" tint="-0.75"/>
      </bottom>
      <diagonal/>
    </border>
    <border>
      <left style="thin">
        <color theme="0"/>
      </left>
      <right style="thin">
        <color theme="0"/>
      </right>
      <top style="thin">
        <color theme="2" tint="-0.75"/>
      </top>
      <bottom/>
      <diagonal/>
    </border>
    <border>
      <left style="thin">
        <color theme="0"/>
      </left>
      <right style="thin">
        <color theme="1" tint="0.25"/>
      </right>
      <top style="thin">
        <color theme="2" tint="-0.75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1" tint="0.25"/>
      </right>
      <top style="thin">
        <color theme="0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8" fillId="15" borderId="1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21" borderId="22" applyNumberFormat="0" applyFont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20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4" fillId="0" borderId="24" applyNumberFormat="0" applyFill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21" fillId="10" borderId="21" applyNumberFormat="0" applyAlignment="0" applyProtection="0">
      <alignment vertical="center"/>
    </xf>
    <xf numFmtId="0" fontId="15" fillId="10" borderId="19" applyNumberFormat="0" applyAlignment="0" applyProtection="0">
      <alignment vertical="center"/>
    </xf>
    <xf numFmtId="0" fontId="23" fillId="23" borderId="23" applyNumberFormat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Border="1" applyAlignment="1" applyProtection="1">
      <alignment vertical="center"/>
      <protection locked="0"/>
    </xf>
    <xf numFmtId="0" fontId="3" fillId="0" borderId="0" xfId="0" applyFont="1" applyFill="1" applyAlignment="1" applyProtection="1">
      <alignment horizontal="center"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0" fontId="5" fillId="0" borderId="1" xfId="0" applyFont="1" applyFill="1" applyBorder="1" applyAlignment="1" applyProtection="1">
      <alignment horizontal="center" vertical="center"/>
      <protection locked="0"/>
    </xf>
    <xf numFmtId="0" fontId="4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left" vertical="center"/>
    </xf>
    <xf numFmtId="0" fontId="6" fillId="2" borderId="4" xfId="0" applyFont="1" applyFill="1" applyBorder="1" applyAlignment="1" applyProtection="1">
      <alignment horizontal="center" vertical="center" wrapText="1"/>
      <protection locked="0"/>
    </xf>
    <xf numFmtId="0" fontId="6" fillId="2" borderId="5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7" xfId="0" applyFont="1" applyFill="1" applyBorder="1" applyAlignment="1" applyProtection="1">
      <alignment horizontal="center" vertical="center"/>
      <protection locked="0"/>
    </xf>
    <xf numFmtId="177" fontId="6" fillId="2" borderId="8" xfId="0" applyNumberFormat="1" applyFont="1" applyFill="1" applyBorder="1" applyAlignment="1" applyProtection="1">
      <alignment horizontal="center" vertical="center"/>
      <protection locked="0"/>
    </xf>
    <xf numFmtId="177" fontId="6" fillId="2" borderId="9" xfId="0" applyNumberFormat="1" applyFont="1" applyFill="1" applyBorder="1" applyAlignment="1" applyProtection="1">
      <alignment horizontal="center" vertical="center"/>
      <protection locked="0"/>
    </xf>
    <xf numFmtId="0" fontId="1" fillId="0" borderId="10" xfId="0" applyFont="1" applyFill="1" applyBorder="1" applyAlignment="1">
      <alignment horizontal="center" vertical="center"/>
    </xf>
    <xf numFmtId="0" fontId="7" fillId="0" borderId="0" xfId="0" applyFont="1" applyFill="1" applyAlignment="1" applyProtection="1">
      <alignment vertical="center"/>
      <protection locked="0"/>
    </xf>
    <xf numFmtId="0" fontId="4" fillId="0" borderId="1" xfId="0" applyFont="1" applyFill="1" applyBorder="1" applyAlignment="1" applyProtection="1">
      <alignment horizontal="center" vertical="center"/>
      <protection locked="0"/>
    </xf>
    <xf numFmtId="178" fontId="4" fillId="0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vertical="center"/>
    </xf>
    <xf numFmtId="0" fontId="4" fillId="0" borderId="0" xfId="0" applyFont="1" applyFill="1" applyBorder="1" applyAlignment="1" applyProtection="1">
      <alignment vertical="center"/>
      <protection locked="0"/>
    </xf>
    <xf numFmtId="0" fontId="1" fillId="0" borderId="11" xfId="0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Alignment="1" applyProtection="1">
      <alignment horizontal="center" vertical="center"/>
      <protection locked="0"/>
    </xf>
    <xf numFmtId="10" fontId="4" fillId="0" borderId="1" xfId="11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Fill="1" applyAlignment="1" applyProtection="1">
      <alignment horizontal="center" vertical="center"/>
      <protection locked="0"/>
    </xf>
    <xf numFmtId="10" fontId="7" fillId="0" borderId="0" xfId="11" applyNumberFormat="1" applyFont="1" applyFill="1" applyAlignment="1" applyProtection="1">
      <alignment horizontal="center" vertical="center"/>
      <protection locked="0"/>
    </xf>
    <xf numFmtId="0" fontId="9" fillId="0" borderId="0" xfId="0" applyFont="1" applyFill="1" applyAlignment="1" applyProtection="1">
      <alignment horizontal="center" vertical="center"/>
      <protection locked="0"/>
    </xf>
    <xf numFmtId="0" fontId="1" fillId="0" borderId="0" xfId="0" applyFont="1" applyFill="1" applyBorder="1" applyAlignment="1" applyProtection="1">
      <alignment vertical="center" textRotation="255"/>
      <protection locked="0"/>
    </xf>
    <xf numFmtId="176" fontId="6" fillId="0" borderId="0" xfId="11" applyNumberFormat="1" applyFont="1" applyFill="1" applyAlignment="1" applyProtection="1">
      <alignment horizontal="center" vertical="center"/>
      <protection locked="0"/>
    </xf>
    <xf numFmtId="0" fontId="8" fillId="0" borderId="0" xfId="0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Alignment="1" applyProtection="1">
      <alignment vertical="center"/>
      <protection locked="0"/>
    </xf>
    <xf numFmtId="176" fontId="6" fillId="0" borderId="0" xfId="11" applyNumberFormat="1" applyFont="1" applyFill="1" applyAlignment="1" applyProtection="1">
      <alignment vertical="center"/>
      <protection locked="0"/>
    </xf>
    <xf numFmtId="0" fontId="4" fillId="0" borderId="0" xfId="0" applyFont="1" applyFill="1" applyBorder="1" applyAlignment="1" applyProtection="1">
      <alignment vertical="center" textRotation="255"/>
      <protection locked="0"/>
    </xf>
    <xf numFmtId="0" fontId="1" fillId="0" borderId="11" xfId="0" applyFont="1" applyFill="1" applyBorder="1" applyAlignment="1" applyProtection="1">
      <alignment horizontal="left" vertical="center"/>
      <protection locked="0"/>
    </xf>
    <xf numFmtId="0" fontId="4" fillId="0" borderId="11" xfId="0" applyFont="1" applyFill="1" applyBorder="1" applyAlignment="1" applyProtection="1">
      <alignment horizontal="center" vertical="center"/>
      <protection locked="0"/>
    </xf>
    <xf numFmtId="0" fontId="4" fillId="0" borderId="12" xfId="0" applyFont="1" applyFill="1" applyBorder="1" applyAlignment="1" applyProtection="1">
      <alignment horizontal="left" vertical="center"/>
      <protection locked="0"/>
    </xf>
    <xf numFmtId="0" fontId="6" fillId="2" borderId="13" xfId="0" applyFont="1" applyFill="1" applyBorder="1" applyAlignment="1" applyProtection="1">
      <alignment horizontal="center" vertical="center" textRotation="255"/>
      <protection locked="0"/>
    </xf>
    <xf numFmtId="0" fontId="6" fillId="2" borderId="14" xfId="0" applyFont="1" applyFill="1" applyBorder="1" applyAlignment="1" applyProtection="1">
      <alignment horizontal="center" vertical="center" textRotation="255"/>
      <protection locked="0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 applyProtection="1">
      <alignment horizontal="center" vertical="center" textRotation="255"/>
      <protection locked="0"/>
    </xf>
    <xf numFmtId="0" fontId="4" fillId="0" borderId="10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49596C"/>
      <color rgb="0053C4CA"/>
      <color rgb="00FED106"/>
      <color rgb="00465B6C"/>
      <color rgb="00E8EFF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3C4CA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FED106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465B6C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rgbClr val="E8EFF5"/>
              </a:solidFill>
              <a:ln>
                <a:noFill/>
              </a:ln>
              <a:effectLst/>
            </c:spPr>
          </c:dPt>
          <c:dLbls>
            <c:delete val="1"/>
          </c:dLbls>
          <c:cat>
            <c:strRef>
              <c:f>Sheet1!$AF$4:$AJ$4</c:f>
              <c:strCache>
                <c:ptCount val="5"/>
                <c:pt idx="0">
                  <c:v>旷工</c:v>
                </c:pt>
                <c:pt idx="1">
                  <c:v>请假</c:v>
                </c:pt>
                <c:pt idx="2">
                  <c:v>出差</c:v>
                </c:pt>
                <c:pt idx="3">
                  <c:v>产假</c:v>
                </c:pt>
                <c:pt idx="4">
                  <c:v>年假</c:v>
                </c:pt>
              </c:strCache>
            </c:strRef>
          </c:cat>
          <c:val>
            <c:numRef>
              <c:f>Sheet1!$AF$5:$AJ$5</c:f>
              <c:numCache>
                <c:formatCode>General</c:formatCode>
                <c:ptCount val="5"/>
                <c:pt idx="0">
                  <c:v>2.625</c:v>
                </c:pt>
                <c:pt idx="1">
                  <c:v>1</c:v>
                </c:pt>
                <c:pt idx="2">
                  <c:v>1.125</c:v>
                </c:pt>
                <c:pt idx="3">
                  <c:v>1.125</c:v>
                </c:pt>
                <c:pt idx="4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8031083"/>
        <c:axId val="795609793"/>
      </c:barChart>
      <c:catAx>
        <c:axId val="3280310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5609793"/>
        <c:crosses val="autoZero"/>
        <c:auto val="1"/>
        <c:lblAlgn val="ctr"/>
        <c:lblOffset val="100"/>
        <c:noMultiLvlLbl val="0"/>
      </c:catAx>
      <c:valAx>
        <c:axId val="79560979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80310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 w="19050">
              <a:noFill/>
            </a:ln>
          </c:spPr>
          <c:explosion val="0"/>
          <c:dPt>
            <c:idx val="0"/>
            <c:bubble3D val="0"/>
            <c:spPr>
              <a:solidFill>
                <a:srgbClr val="465B6C"/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solidFill>
                <a:srgbClr val="53C4CA"/>
              </a:solidFill>
              <a:ln w="19050">
                <a:noFill/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layout>
                <c:manualLayout>
                  <c:x val="0.151401869158879"/>
                  <c:y val="0.212577502214349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400" b="1" i="0" u="none" strike="noStrike" kern="1200" baseline="0">
                      <a:solidFill>
                        <a:sysClr val="windowText" lastClr="000000"/>
                      </a:solidFill>
                      <a:latin typeface="黑体" panose="02010609060101010101" charset="-122"/>
                      <a:ea typeface="黑体" panose="02010609060101010101" charset="-122"/>
                      <a:cs typeface="黑体" panose="02010609060101010101" charset="-122"/>
                      <a:sym typeface="黑体" panose="02010609060101010101" charset="-122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24672897196262"/>
                      <c:h val="0.25155004428698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Sheet1!$AL$3:$AL$4</c:f>
              <c:numCache>
                <c:formatCode>0.0%</c:formatCode>
                <c:ptCount val="2"/>
                <c:pt idx="0">
                  <c:v>0.814516129032258</c:v>
                </c:pt>
                <c:pt idx="1">
                  <c:v>0.185483870967742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7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1"/>
          </a:solidFill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12700</xdr:colOff>
      <xdr:row>6</xdr:row>
      <xdr:rowOff>19050</xdr:rowOff>
    </xdr:from>
    <xdr:to>
      <xdr:col>1</xdr:col>
      <xdr:colOff>1038225</xdr:colOff>
      <xdr:row>7</xdr:row>
      <xdr:rowOff>314325</xdr:rowOff>
    </xdr:to>
    <xdr:cxnSp>
      <xdr:nvCxnSpPr>
        <xdr:cNvPr id="2" name="直接连接符 1"/>
        <xdr:cNvCxnSpPr/>
      </xdr:nvCxnSpPr>
      <xdr:spPr>
        <a:xfrm>
          <a:off x="317500" y="1962150"/>
          <a:ext cx="1025525" cy="676275"/>
        </a:xfrm>
        <a:prstGeom prst="line">
          <a:avLst/>
        </a:prstGeom>
        <a:ln w="3175">
          <a:solidFill>
            <a:schemeClr val="bg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260985</xdr:colOff>
      <xdr:row>1</xdr:row>
      <xdr:rowOff>168275</xdr:rowOff>
    </xdr:from>
    <xdr:to>
      <xdr:col>36</xdr:col>
      <xdr:colOff>385445</xdr:colOff>
      <xdr:row>4</xdr:row>
      <xdr:rowOff>82550</xdr:rowOff>
    </xdr:to>
    <xdr:graphicFrame>
      <xdr:nvGraphicFramePr>
        <xdr:cNvPr id="8" name="图表 7"/>
        <xdr:cNvGraphicFramePr/>
      </xdr:nvGraphicFramePr>
      <xdr:xfrm>
        <a:off x="10487025" y="434975"/>
        <a:ext cx="2845435" cy="11080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413385</xdr:colOff>
      <xdr:row>0</xdr:row>
      <xdr:rowOff>56515</xdr:rowOff>
    </xdr:from>
    <xdr:to>
      <xdr:col>40</xdr:col>
      <xdr:colOff>26035</xdr:colOff>
      <xdr:row>5</xdr:row>
      <xdr:rowOff>33020</xdr:rowOff>
    </xdr:to>
    <xdr:graphicFrame>
      <xdr:nvGraphicFramePr>
        <xdr:cNvPr id="10" name="图表 9"/>
        <xdr:cNvGraphicFramePr/>
      </xdr:nvGraphicFramePr>
      <xdr:xfrm>
        <a:off x="13360400" y="56515"/>
        <a:ext cx="1704340" cy="15513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399415</xdr:colOff>
      <xdr:row>1</xdr:row>
      <xdr:rowOff>628650</xdr:rowOff>
    </xdr:from>
    <xdr:to>
      <xdr:col>39</xdr:col>
      <xdr:colOff>216535</xdr:colOff>
      <xdr:row>3</xdr:row>
      <xdr:rowOff>19050</xdr:rowOff>
    </xdr:to>
    <xdr:sp>
      <xdr:nvSpPr>
        <xdr:cNvPr id="11" name="文本框 10"/>
        <xdr:cNvSpPr txBox="1"/>
      </xdr:nvSpPr>
      <xdr:spPr>
        <a:xfrm>
          <a:off x="13815695" y="895350"/>
          <a:ext cx="774700" cy="27940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>
          <a:noAutofit/>
        </a:bodyPr>
        <a:p>
          <a:pPr algn="ctr">
            <a:buClrTx/>
            <a:buSzTx/>
            <a:buFontTx/>
          </a:pPr>
          <a:r>
            <a:rPr lang="zh-CN" altLang="en-US" sz="1100" b="1">
              <a:solidFill>
                <a:sysClr val="windowText" lastClr="000000"/>
              </a:solidFill>
              <a:latin typeface="黑体" panose="02010609060101010101" charset="-122"/>
              <a:ea typeface="黑体" panose="02010609060101010101" charset="-122"/>
            </a:rPr>
            <a:t>出勤率</a:t>
          </a:r>
          <a:endParaRPr lang="zh-CN" altLang="en-US" sz="1100" b="1">
            <a:solidFill>
              <a:sysClr val="windowText" lastClr="000000"/>
            </a:solidFill>
            <a:latin typeface="黑体" panose="02010609060101010101" charset="-122"/>
            <a:ea typeface="黑体" panose="02010609060101010101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N30"/>
  <sheetViews>
    <sheetView showGridLines="0" tabSelected="1" workbookViewId="0">
      <selection activeCell="B2" sqref="B2:AN2"/>
    </sheetView>
  </sheetViews>
  <sheetFormatPr defaultColWidth="9" defaultRowHeight="14.25"/>
  <cols>
    <col min="1" max="1" width="4" style="1" customWidth="1"/>
    <col min="2" max="2" width="13.875" style="3" customWidth="1"/>
    <col min="3" max="33" width="4.30833333333333" style="1" customWidth="1"/>
    <col min="34" max="38" width="6.15833333333333" style="3" customWidth="1"/>
    <col min="39" max="39" width="6.40833333333333" style="3" customWidth="1"/>
    <col min="40" max="40" width="8.725" style="3" customWidth="1"/>
    <col min="41" max="16384" width="9" style="1"/>
  </cols>
  <sheetData>
    <row r="1" s="1" customFormat="1" ht="21" customHeight="1" spans="2:40">
      <c r="B1" s="4"/>
      <c r="C1" s="5"/>
      <c r="D1" s="5"/>
      <c r="E1" s="5"/>
      <c r="F1" s="5"/>
      <c r="G1" s="5"/>
      <c r="H1" s="5"/>
      <c r="I1" s="5"/>
      <c r="J1" s="5"/>
      <c r="K1" s="5"/>
      <c r="L1" s="5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5"/>
      <c r="AH1" s="5"/>
      <c r="AI1" s="5"/>
      <c r="AJ1" s="5"/>
      <c r="AK1" s="30"/>
      <c r="AL1" s="5"/>
      <c r="AM1" s="5"/>
      <c r="AN1" s="5"/>
    </row>
    <row r="2" s="2" customFormat="1" ht="54" customHeight="1" spans="2:40">
      <c r="B2" s="6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 s="1" customFormat="1" ht="16" customHeight="1" spans="2:40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25"/>
      <c r="AF3" s="25"/>
      <c r="AG3" s="25"/>
      <c r="AH3" s="25"/>
      <c r="AI3" s="25"/>
      <c r="AJ3" s="25"/>
      <c r="AK3" s="7"/>
      <c r="AL3" s="31">
        <f>AB4</f>
        <v>0.814516129032258</v>
      </c>
      <c r="AM3" s="7"/>
      <c r="AN3" s="7"/>
    </row>
    <row r="4" s="1" customFormat="1" ht="24" customHeight="1" spans="2:40">
      <c r="B4" s="7" t="s">
        <v>1</v>
      </c>
      <c r="C4" s="7"/>
      <c r="D4" s="8">
        <f>COUNTA(B9:B2003)</f>
        <v>8</v>
      </c>
      <c r="E4" s="8"/>
      <c r="F4" s="7"/>
      <c r="G4" s="7" t="s">
        <v>2</v>
      </c>
      <c r="H4" s="7"/>
      <c r="I4" s="7"/>
      <c r="J4" s="19">
        <f>COUNTA(C8:AG8)-COUNTIF(C8:AG8,"")</f>
        <v>31</v>
      </c>
      <c r="K4" s="19"/>
      <c r="L4" s="7"/>
      <c r="M4" s="7" t="s">
        <v>3</v>
      </c>
      <c r="N4" s="7"/>
      <c r="O4" s="7"/>
      <c r="P4" s="20">
        <f>SUM(AH9:AH2003)/D4</f>
        <v>24.125</v>
      </c>
      <c r="Q4" s="20"/>
      <c r="R4" s="23"/>
      <c r="S4" s="7" t="s">
        <v>4</v>
      </c>
      <c r="T4" s="7"/>
      <c r="U4" s="7"/>
      <c r="V4" s="20">
        <f>SUM(AK9:AK2003)/D4</f>
        <v>1.125</v>
      </c>
      <c r="W4" s="20"/>
      <c r="X4" s="7"/>
      <c r="Y4" s="7" t="s">
        <v>5</v>
      </c>
      <c r="Z4" s="7"/>
      <c r="AA4" s="7"/>
      <c r="AB4" s="26">
        <f>(P4+V4)/J4</f>
        <v>0.814516129032258</v>
      </c>
      <c r="AC4" s="26"/>
      <c r="AD4" s="7"/>
      <c r="AE4" s="27" t="str">
        <f t="shared" ref="AE4:AJ4" si="0">AH7</f>
        <v>出勤</v>
      </c>
      <c r="AF4" s="27" t="str">
        <f t="shared" si="0"/>
        <v>旷工</v>
      </c>
      <c r="AG4" s="27" t="str">
        <f t="shared" si="0"/>
        <v>请假</v>
      </c>
      <c r="AH4" s="32" t="str">
        <f t="shared" si="0"/>
        <v>出差</v>
      </c>
      <c r="AI4" s="32" t="str">
        <f t="shared" si="0"/>
        <v>产假</v>
      </c>
      <c r="AJ4" s="27" t="str">
        <f t="shared" si="0"/>
        <v>年假</v>
      </c>
      <c r="AK4" s="33"/>
      <c r="AL4" s="34">
        <f>1-AL3</f>
        <v>0.185483870967742</v>
      </c>
      <c r="AM4" s="33"/>
      <c r="AN4" s="33"/>
    </row>
    <row r="5" s="1" customFormat="1" ht="9" customHeight="1" spans="2:40"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28"/>
      <c r="AC5" s="28"/>
      <c r="AD5" s="18"/>
      <c r="AE5" s="29">
        <f>SUM(AH9:AH203)/$D$4</f>
        <v>24.125</v>
      </c>
      <c r="AF5" s="29">
        <f>SUM(AI9:AI203)/$D$4</f>
        <v>2.625</v>
      </c>
      <c r="AG5" s="32">
        <f>SUM(AJ9:AJ203)/$D$4</f>
        <v>1</v>
      </c>
      <c r="AH5" s="32">
        <f>SUM(AK9:AK203)/$D$4</f>
        <v>1.125</v>
      </c>
      <c r="AI5" s="32">
        <f>SUM(AL9:AL203)/$D$4</f>
        <v>1.125</v>
      </c>
      <c r="AJ5" s="32">
        <f>SUM(AM9:AM203)/$D$4</f>
        <v>1</v>
      </c>
      <c r="AK5" s="35"/>
      <c r="AL5" s="23"/>
      <c r="AM5" s="23"/>
      <c r="AN5" s="23"/>
    </row>
    <row r="6" s="1" customFormat="1" ht="29" customHeight="1" spans="2:40">
      <c r="B6" s="9" t="s">
        <v>6</v>
      </c>
      <c r="C6" s="10"/>
      <c r="D6" s="10"/>
      <c r="E6" s="10"/>
      <c r="F6" s="10"/>
      <c r="G6" s="10"/>
      <c r="H6" s="10"/>
      <c r="I6" s="10"/>
      <c r="J6" s="21" t="s">
        <v>7</v>
      </c>
      <c r="K6" s="21"/>
      <c r="L6" s="21"/>
      <c r="M6" s="22"/>
      <c r="N6" s="22"/>
      <c r="O6" s="22"/>
      <c r="P6" s="22"/>
      <c r="Q6" s="22"/>
      <c r="R6" s="24" t="s">
        <v>8</v>
      </c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36"/>
      <c r="AK6" s="37">
        <v>2020</v>
      </c>
      <c r="AL6" s="37" t="s">
        <v>9</v>
      </c>
      <c r="AM6" s="37">
        <v>10</v>
      </c>
      <c r="AN6" s="38" t="s">
        <v>10</v>
      </c>
    </row>
    <row r="7" s="1" customFormat="1" ht="30" customHeight="1" spans="2:40">
      <c r="B7" s="11" t="s">
        <v>11</v>
      </c>
      <c r="C7" s="12" t="str">
        <f t="shared" ref="C7:AG7" si="1">TEXT(C8,"AAA")</f>
        <v>四</v>
      </c>
      <c r="D7" s="13" t="str">
        <f t="shared" si="1"/>
        <v>五</v>
      </c>
      <c r="E7" s="13" t="str">
        <f t="shared" si="1"/>
        <v>六</v>
      </c>
      <c r="F7" s="13" t="str">
        <f t="shared" si="1"/>
        <v>日</v>
      </c>
      <c r="G7" s="13" t="str">
        <f t="shared" si="1"/>
        <v>一</v>
      </c>
      <c r="H7" s="13" t="str">
        <f t="shared" si="1"/>
        <v>二</v>
      </c>
      <c r="I7" s="13" t="str">
        <f t="shared" si="1"/>
        <v>三</v>
      </c>
      <c r="J7" s="13" t="str">
        <f t="shared" si="1"/>
        <v>四</v>
      </c>
      <c r="K7" s="13" t="str">
        <f t="shared" si="1"/>
        <v>五</v>
      </c>
      <c r="L7" s="13" t="str">
        <f t="shared" si="1"/>
        <v>六</v>
      </c>
      <c r="M7" s="13" t="str">
        <f t="shared" si="1"/>
        <v>日</v>
      </c>
      <c r="N7" s="13" t="str">
        <f t="shared" si="1"/>
        <v>一</v>
      </c>
      <c r="O7" s="13" t="str">
        <f t="shared" si="1"/>
        <v>二</v>
      </c>
      <c r="P7" s="13" t="str">
        <f t="shared" si="1"/>
        <v>三</v>
      </c>
      <c r="Q7" s="13" t="str">
        <f t="shared" si="1"/>
        <v>四</v>
      </c>
      <c r="R7" s="13" t="str">
        <f t="shared" si="1"/>
        <v>五</v>
      </c>
      <c r="S7" s="13" t="str">
        <f t="shared" si="1"/>
        <v>六</v>
      </c>
      <c r="T7" s="13" t="str">
        <f t="shared" si="1"/>
        <v>日</v>
      </c>
      <c r="U7" s="13" t="str">
        <f t="shared" si="1"/>
        <v>一</v>
      </c>
      <c r="V7" s="13" t="str">
        <f t="shared" si="1"/>
        <v>二</v>
      </c>
      <c r="W7" s="13" t="str">
        <f t="shared" si="1"/>
        <v>三</v>
      </c>
      <c r="X7" s="13" t="str">
        <f t="shared" si="1"/>
        <v>四</v>
      </c>
      <c r="Y7" s="13" t="str">
        <f t="shared" si="1"/>
        <v>五</v>
      </c>
      <c r="Z7" s="13" t="str">
        <f t="shared" si="1"/>
        <v>六</v>
      </c>
      <c r="AA7" s="13" t="str">
        <f t="shared" si="1"/>
        <v>日</v>
      </c>
      <c r="AB7" s="13" t="str">
        <f t="shared" si="1"/>
        <v>一</v>
      </c>
      <c r="AC7" s="13" t="str">
        <f t="shared" si="1"/>
        <v>二</v>
      </c>
      <c r="AD7" s="13" t="str">
        <f t="shared" si="1"/>
        <v>三</v>
      </c>
      <c r="AE7" s="13" t="str">
        <f t="shared" si="1"/>
        <v>四</v>
      </c>
      <c r="AF7" s="13" t="str">
        <f t="shared" si="1"/>
        <v>五</v>
      </c>
      <c r="AG7" s="13" t="str">
        <f t="shared" si="1"/>
        <v>六</v>
      </c>
      <c r="AH7" s="39" t="s">
        <v>12</v>
      </c>
      <c r="AI7" s="39" t="s">
        <v>13</v>
      </c>
      <c r="AJ7" s="39" t="s">
        <v>14</v>
      </c>
      <c r="AK7" s="39" t="s">
        <v>15</v>
      </c>
      <c r="AL7" s="39" t="s">
        <v>16</v>
      </c>
      <c r="AM7" s="39" t="s">
        <v>17</v>
      </c>
      <c r="AN7" s="40" t="s">
        <v>18</v>
      </c>
    </row>
    <row r="8" s="1" customFormat="1" ht="25" customHeight="1" spans="2:40">
      <c r="B8" s="14"/>
      <c r="C8" s="15">
        <f t="shared" ref="C8:AG8" si="2">IF(MONTH(DATE($AK$6,$AM$6,COLUMN(A1)))=$AM$6,DATE($AK$6,$AM$6,COLUMN(A1)),"")</f>
        <v>44105</v>
      </c>
      <c r="D8" s="16">
        <f t="shared" si="2"/>
        <v>44106</v>
      </c>
      <c r="E8" s="16">
        <f t="shared" si="2"/>
        <v>44107</v>
      </c>
      <c r="F8" s="16">
        <f t="shared" si="2"/>
        <v>44108</v>
      </c>
      <c r="G8" s="16">
        <f t="shared" si="2"/>
        <v>44109</v>
      </c>
      <c r="H8" s="16">
        <f t="shared" si="2"/>
        <v>44110</v>
      </c>
      <c r="I8" s="16">
        <f t="shared" si="2"/>
        <v>44111</v>
      </c>
      <c r="J8" s="16">
        <f t="shared" si="2"/>
        <v>44112</v>
      </c>
      <c r="K8" s="16">
        <f t="shared" si="2"/>
        <v>44113</v>
      </c>
      <c r="L8" s="16">
        <f t="shared" si="2"/>
        <v>44114</v>
      </c>
      <c r="M8" s="16">
        <f t="shared" si="2"/>
        <v>44115</v>
      </c>
      <c r="N8" s="16">
        <f t="shared" si="2"/>
        <v>44116</v>
      </c>
      <c r="O8" s="16">
        <f t="shared" si="2"/>
        <v>44117</v>
      </c>
      <c r="P8" s="16">
        <f t="shared" si="2"/>
        <v>44118</v>
      </c>
      <c r="Q8" s="16">
        <f t="shared" si="2"/>
        <v>44119</v>
      </c>
      <c r="R8" s="16">
        <f t="shared" si="2"/>
        <v>44120</v>
      </c>
      <c r="S8" s="16">
        <f t="shared" si="2"/>
        <v>44121</v>
      </c>
      <c r="T8" s="16">
        <f t="shared" si="2"/>
        <v>44122</v>
      </c>
      <c r="U8" s="16">
        <f t="shared" si="2"/>
        <v>44123</v>
      </c>
      <c r="V8" s="16">
        <f t="shared" si="2"/>
        <v>44124</v>
      </c>
      <c r="W8" s="16">
        <f t="shared" si="2"/>
        <v>44125</v>
      </c>
      <c r="X8" s="16">
        <f t="shared" si="2"/>
        <v>44126</v>
      </c>
      <c r="Y8" s="16">
        <f t="shared" si="2"/>
        <v>44127</v>
      </c>
      <c r="Z8" s="16">
        <f t="shared" si="2"/>
        <v>44128</v>
      </c>
      <c r="AA8" s="16">
        <f t="shared" si="2"/>
        <v>44129</v>
      </c>
      <c r="AB8" s="16">
        <f t="shared" si="2"/>
        <v>44130</v>
      </c>
      <c r="AC8" s="16">
        <f t="shared" si="2"/>
        <v>44131</v>
      </c>
      <c r="AD8" s="16">
        <f t="shared" si="2"/>
        <v>44132</v>
      </c>
      <c r="AE8" s="16">
        <f t="shared" si="2"/>
        <v>44133</v>
      </c>
      <c r="AF8" s="16">
        <f t="shared" si="2"/>
        <v>44134</v>
      </c>
      <c r="AG8" s="16">
        <f t="shared" si="2"/>
        <v>44135</v>
      </c>
      <c r="AH8" s="41" t="s">
        <v>19</v>
      </c>
      <c r="AI8" s="41" t="s">
        <v>20</v>
      </c>
      <c r="AJ8" s="41" t="s">
        <v>21</v>
      </c>
      <c r="AK8" s="41" t="s">
        <v>22</v>
      </c>
      <c r="AL8" s="41" t="s">
        <v>23</v>
      </c>
      <c r="AM8" s="41" t="s">
        <v>24</v>
      </c>
      <c r="AN8" s="42"/>
    </row>
    <row r="9" s="1" customFormat="1" ht="22" customHeight="1" spans="2:40">
      <c r="B9" s="17" t="s">
        <v>25</v>
      </c>
      <c r="C9" s="17" t="s">
        <v>19</v>
      </c>
      <c r="D9" s="17" t="s">
        <v>19</v>
      </c>
      <c r="E9" s="17" t="s">
        <v>22</v>
      </c>
      <c r="F9" s="17" t="s">
        <v>19</v>
      </c>
      <c r="G9" s="17" t="s">
        <v>19</v>
      </c>
      <c r="H9" s="17" t="s">
        <v>19</v>
      </c>
      <c r="I9" s="17" t="s">
        <v>19</v>
      </c>
      <c r="J9" s="17" t="s">
        <v>23</v>
      </c>
      <c r="K9" s="17" t="s">
        <v>20</v>
      </c>
      <c r="L9" s="17" t="s">
        <v>19</v>
      </c>
      <c r="M9" s="17" t="s">
        <v>20</v>
      </c>
      <c r="N9" s="17" t="s">
        <v>20</v>
      </c>
      <c r="O9" s="17" t="s">
        <v>19</v>
      </c>
      <c r="P9" s="17" t="s">
        <v>19</v>
      </c>
      <c r="Q9" s="17" t="s">
        <v>19</v>
      </c>
      <c r="R9" s="17" t="s">
        <v>21</v>
      </c>
      <c r="S9" s="17" t="s">
        <v>19</v>
      </c>
      <c r="T9" s="17" t="s">
        <v>19</v>
      </c>
      <c r="U9" s="17" t="s">
        <v>19</v>
      </c>
      <c r="V9" s="17" t="s">
        <v>19</v>
      </c>
      <c r="W9" s="17" t="s">
        <v>19</v>
      </c>
      <c r="X9" s="17" t="s">
        <v>19</v>
      </c>
      <c r="Y9" s="17" t="s">
        <v>19</v>
      </c>
      <c r="Z9" s="17" t="s">
        <v>24</v>
      </c>
      <c r="AA9" s="17" t="s">
        <v>19</v>
      </c>
      <c r="AB9" s="17" t="s">
        <v>19</v>
      </c>
      <c r="AC9" s="17" t="s">
        <v>19</v>
      </c>
      <c r="AD9" s="17" t="s">
        <v>19</v>
      </c>
      <c r="AE9" s="17" t="s">
        <v>19</v>
      </c>
      <c r="AF9" s="17" t="s">
        <v>19</v>
      </c>
      <c r="AG9" s="17" t="s">
        <v>19</v>
      </c>
      <c r="AH9" s="17">
        <f t="shared" ref="AH9:AH17" si="3">IF(B9="","",COUNTIF(C9:AG9,"√"))</f>
        <v>24</v>
      </c>
      <c r="AI9" s="17">
        <f t="shared" ref="AI9:AI17" si="4">IF(B9="","",COUNTIF(C9:AG9,"×"))</f>
        <v>3</v>
      </c>
      <c r="AJ9" s="17">
        <f t="shared" ref="AJ9:AJ17" si="5">IF(B9="","",COUNTIF(C9:AG9,"●"))</f>
        <v>1</v>
      </c>
      <c r="AK9" s="17">
        <f t="shared" ref="AK9:AK17" si="6">IF(B9="","",COUNTIF(C9:AG9,"□"))</f>
        <v>1</v>
      </c>
      <c r="AL9" s="17">
        <f t="shared" ref="AL9:AL17" si="7">IF(B9="","",COUNTIF(C9:AG9,"○"))</f>
        <v>1</v>
      </c>
      <c r="AM9" s="17">
        <f t="shared" ref="AM9:AM17" si="8">IF(C9="","",COUNTIF(D9:AH9,"■"))</f>
        <v>1</v>
      </c>
      <c r="AN9" s="43"/>
    </row>
    <row r="10" s="1" customFormat="1" ht="22" customHeight="1" spans="2:40">
      <c r="B10" s="17" t="s">
        <v>26</v>
      </c>
      <c r="C10" s="17" t="s">
        <v>19</v>
      </c>
      <c r="D10" s="17" t="s">
        <v>19</v>
      </c>
      <c r="E10" s="17" t="s">
        <v>20</v>
      </c>
      <c r="F10" s="17" t="s">
        <v>22</v>
      </c>
      <c r="G10" s="17" t="s">
        <v>19</v>
      </c>
      <c r="H10" s="17" t="s">
        <v>19</v>
      </c>
      <c r="I10" s="17" t="s">
        <v>19</v>
      </c>
      <c r="J10" s="17" t="s">
        <v>19</v>
      </c>
      <c r="K10" s="17" t="s">
        <v>23</v>
      </c>
      <c r="L10" s="17" t="s">
        <v>20</v>
      </c>
      <c r="M10" s="17" t="s">
        <v>20</v>
      </c>
      <c r="N10" s="17" t="s">
        <v>20</v>
      </c>
      <c r="O10" s="17" t="s">
        <v>19</v>
      </c>
      <c r="P10" s="17" t="s">
        <v>19</v>
      </c>
      <c r="Q10" s="17" t="s">
        <v>19</v>
      </c>
      <c r="R10" s="17" t="s">
        <v>19</v>
      </c>
      <c r="S10" s="17" t="s">
        <v>21</v>
      </c>
      <c r="T10" s="17" t="s">
        <v>19</v>
      </c>
      <c r="U10" s="17" t="s">
        <v>19</v>
      </c>
      <c r="V10" s="17" t="s">
        <v>19</v>
      </c>
      <c r="W10" s="17" t="s">
        <v>19</v>
      </c>
      <c r="X10" s="17" t="s">
        <v>19</v>
      </c>
      <c r="Y10" s="17" t="s">
        <v>19</v>
      </c>
      <c r="Z10" s="17" t="s">
        <v>19</v>
      </c>
      <c r="AA10" s="17" t="s">
        <v>24</v>
      </c>
      <c r="AB10" s="17" t="s">
        <v>19</v>
      </c>
      <c r="AC10" s="17" t="s">
        <v>19</v>
      </c>
      <c r="AD10" s="17" t="s">
        <v>19</v>
      </c>
      <c r="AE10" s="17" t="s">
        <v>19</v>
      </c>
      <c r="AF10" s="17" t="s">
        <v>19</v>
      </c>
      <c r="AG10" s="17" t="s">
        <v>19</v>
      </c>
      <c r="AH10" s="17">
        <f t="shared" si="3"/>
        <v>23</v>
      </c>
      <c r="AI10" s="17">
        <f t="shared" si="4"/>
        <v>4</v>
      </c>
      <c r="AJ10" s="17">
        <f t="shared" si="5"/>
        <v>1</v>
      </c>
      <c r="AK10" s="17">
        <f t="shared" si="6"/>
        <v>1</v>
      </c>
      <c r="AL10" s="17">
        <f t="shared" si="7"/>
        <v>1</v>
      </c>
      <c r="AM10" s="17">
        <f t="shared" si="8"/>
        <v>1</v>
      </c>
      <c r="AN10" s="43"/>
    </row>
    <row r="11" s="1" customFormat="1" ht="22" customHeight="1" spans="2:40">
      <c r="B11" s="17" t="s">
        <v>27</v>
      </c>
      <c r="C11" s="17" t="s">
        <v>19</v>
      </c>
      <c r="D11" s="17" t="s">
        <v>19</v>
      </c>
      <c r="E11" s="17" t="s">
        <v>22</v>
      </c>
      <c r="F11" s="17" t="s">
        <v>19</v>
      </c>
      <c r="G11" s="17" t="s">
        <v>22</v>
      </c>
      <c r="H11" s="17" t="s">
        <v>19</v>
      </c>
      <c r="I11" s="17" t="s">
        <v>19</v>
      </c>
      <c r="J11" s="17" t="s">
        <v>19</v>
      </c>
      <c r="K11" s="17" t="s">
        <v>19</v>
      </c>
      <c r="L11" s="17" t="s">
        <v>23</v>
      </c>
      <c r="M11" s="17" t="s">
        <v>20</v>
      </c>
      <c r="N11" s="17" t="s">
        <v>20</v>
      </c>
      <c r="O11" s="17" t="s">
        <v>19</v>
      </c>
      <c r="P11" s="17" t="s">
        <v>19</v>
      </c>
      <c r="Q11" s="17" t="s">
        <v>19</v>
      </c>
      <c r="R11" s="17" t="s">
        <v>19</v>
      </c>
      <c r="S11" s="17" t="s">
        <v>19</v>
      </c>
      <c r="T11" s="17" t="s">
        <v>21</v>
      </c>
      <c r="U11" s="17" t="s">
        <v>19</v>
      </c>
      <c r="V11" s="17" t="s">
        <v>19</v>
      </c>
      <c r="W11" s="17" t="s">
        <v>19</v>
      </c>
      <c r="X11" s="17" t="s">
        <v>19</v>
      </c>
      <c r="Y11" s="17" t="s">
        <v>19</v>
      </c>
      <c r="Z11" s="17" t="s">
        <v>19</v>
      </c>
      <c r="AA11" s="17" t="s">
        <v>19</v>
      </c>
      <c r="AB11" s="17" t="s">
        <v>24</v>
      </c>
      <c r="AC11" s="17" t="s">
        <v>19</v>
      </c>
      <c r="AD11" s="17" t="s">
        <v>19</v>
      </c>
      <c r="AE11" s="17" t="s">
        <v>19</v>
      </c>
      <c r="AF11" s="17" t="s">
        <v>19</v>
      </c>
      <c r="AG11" s="17" t="s">
        <v>19</v>
      </c>
      <c r="AH11" s="17">
        <f t="shared" si="3"/>
        <v>24</v>
      </c>
      <c r="AI11" s="17">
        <f t="shared" si="4"/>
        <v>2</v>
      </c>
      <c r="AJ11" s="17">
        <f t="shared" si="5"/>
        <v>1</v>
      </c>
      <c r="AK11" s="17">
        <f t="shared" si="6"/>
        <v>2</v>
      </c>
      <c r="AL11" s="17">
        <f t="shared" si="7"/>
        <v>1</v>
      </c>
      <c r="AM11" s="17">
        <f t="shared" si="8"/>
        <v>1</v>
      </c>
      <c r="AN11" s="43"/>
    </row>
    <row r="12" s="1" customFormat="1" ht="22" customHeight="1" spans="2:40">
      <c r="B12" s="17" t="s">
        <v>28</v>
      </c>
      <c r="C12" s="17" t="s">
        <v>19</v>
      </c>
      <c r="D12" s="17" t="s">
        <v>19</v>
      </c>
      <c r="E12" s="17" t="s">
        <v>23</v>
      </c>
      <c r="F12" s="17" t="s">
        <v>19</v>
      </c>
      <c r="G12" s="17" t="s">
        <v>19</v>
      </c>
      <c r="H12" s="17" t="s">
        <v>22</v>
      </c>
      <c r="I12" s="17" t="s">
        <v>19</v>
      </c>
      <c r="J12" s="17" t="s">
        <v>19</v>
      </c>
      <c r="K12" s="17" t="s">
        <v>19</v>
      </c>
      <c r="L12" s="17" t="s">
        <v>19</v>
      </c>
      <c r="M12" s="17" t="s">
        <v>23</v>
      </c>
      <c r="N12" s="17" t="s">
        <v>20</v>
      </c>
      <c r="O12" s="17" t="s">
        <v>19</v>
      </c>
      <c r="P12" s="17" t="s">
        <v>19</v>
      </c>
      <c r="Q12" s="17" t="s">
        <v>19</v>
      </c>
      <c r="R12" s="17" t="s">
        <v>19</v>
      </c>
      <c r="S12" s="17" t="s">
        <v>19</v>
      </c>
      <c r="T12" s="17" t="s">
        <v>19</v>
      </c>
      <c r="U12" s="17" t="s">
        <v>21</v>
      </c>
      <c r="V12" s="17" t="s">
        <v>19</v>
      </c>
      <c r="W12" s="17" t="s">
        <v>19</v>
      </c>
      <c r="X12" s="17" t="s">
        <v>19</v>
      </c>
      <c r="Y12" s="17" t="s">
        <v>19</v>
      </c>
      <c r="Z12" s="17" t="s">
        <v>19</v>
      </c>
      <c r="AA12" s="17" t="s">
        <v>19</v>
      </c>
      <c r="AB12" s="17" t="s">
        <v>19</v>
      </c>
      <c r="AC12" s="17" t="s">
        <v>24</v>
      </c>
      <c r="AD12" s="17" t="s">
        <v>19</v>
      </c>
      <c r="AE12" s="17" t="s">
        <v>19</v>
      </c>
      <c r="AF12" s="17" t="s">
        <v>19</v>
      </c>
      <c r="AG12" s="17" t="s">
        <v>19</v>
      </c>
      <c r="AH12" s="17">
        <f t="shared" si="3"/>
        <v>25</v>
      </c>
      <c r="AI12" s="17">
        <f t="shared" si="4"/>
        <v>1</v>
      </c>
      <c r="AJ12" s="17">
        <f t="shared" si="5"/>
        <v>1</v>
      </c>
      <c r="AK12" s="17">
        <f t="shared" si="6"/>
        <v>1</v>
      </c>
      <c r="AL12" s="17">
        <f t="shared" si="7"/>
        <v>2</v>
      </c>
      <c r="AM12" s="17">
        <f t="shared" si="8"/>
        <v>1</v>
      </c>
      <c r="AN12" s="43"/>
    </row>
    <row r="13" s="1" customFormat="1" ht="22" customHeight="1" spans="2:40">
      <c r="B13" s="17" t="s">
        <v>29</v>
      </c>
      <c r="C13" s="17" t="s">
        <v>19</v>
      </c>
      <c r="D13" s="17" t="s">
        <v>19</v>
      </c>
      <c r="E13" s="17" t="s">
        <v>19</v>
      </c>
      <c r="F13" s="17" t="s">
        <v>19</v>
      </c>
      <c r="G13" s="17" t="s">
        <v>19</v>
      </c>
      <c r="H13" s="17" t="s">
        <v>19</v>
      </c>
      <c r="I13" s="17" t="s">
        <v>22</v>
      </c>
      <c r="J13" s="17" t="s">
        <v>19</v>
      </c>
      <c r="K13" s="17" t="s">
        <v>19</v>
      </c>
      <c r="L13" s="17" t="s">
        <v>19</v>
      </c>
      <c r="M13" s="17" t="s">
        <v>20</v>
      </c>
      <c r="N13" s="17" t="s">
        <v>23</v>
      </c>
      <c r="O13" s="17" t="s">
        <v>20</v>
      </c>
      <c r="P13" s="17" t="s">
        <v>19</v>
      </c>
      <c r="Q13" s="17" t="s">
        <v>19</v>
      </c>
      <c r="R13" s="17" t="s">
        <v>19</v>
      </c>
      <c r="S13" s="17" t="s">
        <v>19</v>
      </c>
      <c r="T13" s="17" t="s">
        <v>19</v>
      </c>
      <c r="U13" s="17" t="s">
        <v>19</v>
      </c>
      <c r="V13" s="17" t="s">
        <v>21</v>
      </c>
      <c r="W13" s="17" t="s">
        <v>19</v>
      </c>
      <c r="X13" s="17" t="s">
        <v>19</v>
      </c>
      <c r="Y13" s="17" t="s">
        <v>19</v>
      </c>
      <c r="Z13" s="17" t="s">
        <v>19</v>
      </c>
      <c r="AA13" s="17" t="s">
        <v>19</v>
      </c>
      <c r="AB13" s="17" t="s">
        <v>19</v>
      </c>
      <c r="AC13" s="17" t="s">
        <v>19</v>
      </c>
      <c r="AD13" s="17" t="s">
        <v>24</v>
      </c>
      <c r="AE13" s="17" t="s">
        <v>19</v>
      </c>
      <c r="AF13" s="17" t="s">
        <v>19</v>
      </c>
      <c r="AG13" s="17" t="s">
        <v>19</v>
      </c>
      <c r="AH13" s="17">
        <f t="shared" si="3"/>
        <v>25</v>
      </c>
      <c r="AI13" s="17">
        <f t="shared" si="4"/>
        <v>2</v>
      </c>
      <c r="AJ13" s="17">
        <f t="shared" si="5"/>
        <v>1</v>
      </c>
      <c r="AK13" s="17">
        <f t="shared" si="6"/>
        <v>1</v>
      </c>
      <c r="AL13" s="17">
        <f t="shared" si="7"/>
        <v>1</v>
      </c>
      <c r="AM13" s="17">
        <f t="shared" si="8"/>
        <v>1</v>
      </c>
      <c r="AN13" s="43"/>
    </row>
    <row r="14" s="1" customFormat="1" ht="22" customHeight="1" spans="2:40">
      <c r="B14" s="17" t="s">
        <v>30</v>
      </c>
      <c r="C14" s="17" t="s">
        <v>19</v>
      </c>
      <c r="D14" s="17" t="s">
        <v>19</v>
      </c>
      <c r="E14" s="17" t="s">
        <v>19</v>
      </c>
      <c r="F14" s="17" t="s">
        <v>19</v>
      </c>
      <c r="G14" s="17" t="s">
        <v>19</v>
      </c>
      <c r="H14" s="17" t="s">
        <v>19</v>
      </c>
      <c r="I14" s="17" t="s">
        <v>19</v>
      </c>
      <c r="J14" s="17" t="s">
        <v>22</v>
      </c>
      <c r="K14" s="17" t="s">
        <v>19</v>
      </c>
      <c r="L14" s="17" t="s">
        <v>19</v>
      </c>
      <c r="M14" s="17" t="s">
        <v>20</v>
      </c>
      <c r="N14" s="17" t="s">
        <v>20</v>
      </c>
      <c r="O14" s="17" t="s">
        <v>23</v>
      </c>
      <c r="P14" s="17" t="s">
        <v>20</v>
      </c>
      <c r="Q14" s="17" t="s">
        <v>19</v>
      </c>
      <c r="R14" s="17" t="s">
        <v>19</v>
      </c>
      <c r="S14" s="17" t="s">
        <v>19</v>
      </c>
      <c r="T14" s="17" t="s">
        <v>19</v>
      </c>
      <c r="U14" s="17" t="s">
        <v>19</v>
      </c>
      <c r="V14" s="17" t="s">
        <v>19</v>
      </c>
      <c r="W14" s="17" t="s">
        <v>21</v>
      </c>
      <c r="X14" s="17" t="s">
        <v>19</v>
      </c>
      <c r="Y14" s="17" t="s">
        <v>19</v>
      </c>
      <c r="Z14" s="17" t="s">
        <v>19</v>
      </c>
      <c r="AA14" s="17" t="s">
        <v>19</v>
      </c>
      <c r="AB14" s="17" t="s">
        <v>19</v>
      </c>
      <c r="AC14" s="17" t="s">
        <v>19</v>
      </c>
      <c r="AD14" s="17" t="s">
        <v>19</v>
      </c>
      <c r="AE14" s="17" t="s">
        <v>24</v>
      </c>
      <c r="AF14" s="17" t="s">
        <v>19</v>
      </c>
      <c r="AG14" s="17" t="s">
        <v>19</v>
      </c>
      <c r="AH14" s="17">
        <f t="shared" si="3"/>
        <v>24</v>
      </c>
      <c r="AI14" s="17">
        <f t="shared" si="4"/>
        <v>3</v>
      </c>
      <c r="AJ14" s="17">
        <f t="shared" si="5"/>
        <v>1</v>
      </c>
      <c r="AK14" s="17">
        <f t="shared" si="6"/>
        <v>1</v>
      </c>
      <c r="AL14" s="17">
        <f t="shared" si="7"/>
        <v>1</v>
      </c>
      <c r="AM14" s="17">
        <f t="shared" si="8"/>
        <v>1</v>
      </c>
      <c r="AN14" s="43"/>
    </row>
    <row r="15" s="1" customFormat="1" ht="22" customHeight="1" spans="2:40">
      <c r="B15" s="17" t="s">
        <v>31</v>
      </c>
      <c r="C15" s="17" t="s">
        <v>19</v>
      </c>
      <c r="D15" s="17" t="s">
        <v>19</v>
      </c>
      <c r="E15" s="17" t="s">
        <v>19</v>
      </c>
      <c r="F15" s="17" t="s">
        <v>19</v>
      </c>
      <c r="G15" s="17" t="s">
        <v>19</v>
      </c>
      <c r="H15" s="17" t="s">
        <v>19</v>
      </c>
      <c r="I15" s="17" t="s">
        <v>19</v>
      </c>
      <c r="J15" s="17" t="s">
        <v>19</v>
      </c>
      <c r="K15" s="17" t="s">
        <v>22</v>
      </c>
      <c r="L15" s="17" t="s">
        <v>19</v>
      </c>
      <c r="M15" s="17" t="s">
        <v>20</v>
      </c>
      <c r="N15" s="17" t="s">
        <v>20</v>
      </c>
      <c r="O15" s="17" t="s">
        <v>19</v>
      </c>
      <c r="P15" s="17" t="s">
        <v>23</v>
      </c>
      <c r="Q15" s="17" t="s">
        <v>20</v>
      </c>
      <c r="R15" s="17" t="s">
        <v>19</v>
      </c>
      <c r="S15" s="17" t="s">
        <v>19</v>
      </c>
      <c r="T15" s="17" t="s">
        <v>19</v>
      </c>
      <c r="U15" s="17" t="s">
        <v>19</v>
      </c>
      <c r="V15" s="17" t="s">
        <v>19</v>
      </c>
      <c r="W15" s="17" t="s">
        <v>19</v>
      </c>
      <c r="X15" s="17" t="s">
        <v>21</v>
      </c>
      <c r="Y15" s="17" t="s">
        <v>19</v>
      </c>
      <c r="Z15" s="17" t="s">
        <v>19</v>
      </c>
      <c r="AA15" s="17" t="s">
        <v>19</v>
      </c>
      <c r="AB15" s="17" t="s">
        <v>19</v>
      </c>
      <c r="AC15" s="17" t="s">
        <v>19</v>
      </c>
      <c r="AD15" s="17" t="s">
        <v>19</v>
      </c>
      <c r="AE15" s="17" t="s">
        <v>19</v>
      </c>
      <c r="AF15" s="17" t="s">
        <v>24</v>
      </c>
      <c r="AG15" s="17" t="s">
        <v>19</v>
      </c>
      <c r="AH15" s="17">
        <f t="shared" si="3"/>
        <v>24</v>
      </c>
      <c r="AI15" s="17">
        <f t="shared" si="4"/>
        <v>3</v>
      </c>
      <c r="AJ15" s="17">
        <f t="shared" si="5"/>
        <v>1</v>
      </c>
      <c r="AK15" s="17">
        <f t="shared" si="6"/>
        <v>1</v>
      </c>
      <c r="AL15" s="17">
        <f t="shared" si="7"/>
        <v>1</v>
      </c>
      <c r="AM15" s="17">
        <f t="shared" si="8"/>
        <v>1</v>
      </c>
      <c r="AN15" s="43"/>
    </row>
    <row r="16" s="1" customFormat="1" ht="22" customHeight="1" spans="2:40">
      <c r="B16" s="17" t="s">
        <v>32</v>
      </c>
      <c r="C16" s="17" t="s">
        <v>19</v>
      </c>
      <c r="D16" s="17" t="s">
        <v>19</v>
      </c>
      <c r="E16" s="17" t="s">
        <v>19</v>
      </c>
      <c r="F16" s="17" t="s">
        <v>19</v>
      </c>
      <c r="G16" s="17" t="s">
        <v>19</v>
      </c>
      <c r="H16" s="17" t="s">
        <v>19</v>
      </c>
      <c r="I16" s="17" t="s">
        <v>19</v>
      </c>
      <c r="J16" s="17" t="s">
        <v>19</v>
      </c>
      <c r="K16" s="17" t="s">
        <v>19</v>
      </c>
      <c r="L16" s="17" t="s">
        <v>22</v>
      </c>
      <c r="M16" s="17" t="s">
        <v>20</v>
      </c>
      <c r="N16" s="17" t="s">
        <v>20</v>
      </c>
      <c r="O16" s="17" t="s">
        <v>19</v>
      </c>
      <c r="P16" s="17" t="s">
        <v>19</v>
      </c>
      <c r="Q16" s="17" t="s">
        <v>23</v>
      </c>
      <c r="R16" s="17" t="s">
        <v>20</v>
      </c>
      <c r="S16" s="17" t="s">
        <v>19</v>
      </c>
      <c r="T16" s="17" t="s">
        <v>19</v>
      </c>
      <c r="U16" s="17" t="s">
        <v>19</v>
      </c>
      <c r="V16" s="17" t="s">
        <v>19</v>
      </c>
      <c r="W16" s="17" t="s">
        <v>19</v>
      </c>
      <c r="X16" s="17" t="s">
        <v>19</v>
      </c>
      <c r="Y16" s="17" t="s">
        <v>21</v>
      </c>
      <c r="Z16" s="17" t="s">
        <v>19</v>
      </c>
      <c r="AA16" s="17" t="s">
        <v>19</v>
      </c>
      <c r="AB16" s="17" t="s">
        <v>19</v>
      </c>
      <c r="AC16" s="17" t="s">
        <v>19</v>
      </c>
      <c r="AD16" s="17" t="s">
        <v>19</v>
      </c>
      <c r="AE16" s="17" t="s">
        <v>19</v>
      </c>
      <c r="AF16" s="17" t="s">
        <v>19</v>
      </c>
      <c r="AG16" s="17" t="s">
        <v>24</v>
      </c>
      <c r="AH16" s="17">
        <f t="shared" si="3"/>
        <v>24</v>
      </c>
      <c r="AI16" s="17">
        <f t="shared" si="4"/>
        <v>3</v>
      </c>
      <c r="AJ16" s="17">
        <f t="shared" si="5"/>
        <v>1</v>
      </c>
      <c r="AK16" s="17">
        <f t="shared" si="6"/>
        <v>1</v>
      </c>
      <c r="AL16" s="17">
        <f t="shared" si="7"/>
        <v>1</v>
      </c>
      <c r="AM16" s="17">
        <f t="shared" si="8"/>
        <v>1</v>
      </c>
      <c r="AN16" s="43"/>
    </row>
    <row r="17" s="1" customFormat="1" ht="22" customHeight="1" spans="2:40"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 t="str">
        <f t="shared" si="3"/>
        <v/>
      </c>
      <c r="AI17" s="17" t="str">
        <f t="shared" si="4"/>
        <v/>
      </c>
      <c r="AJ17" s="17" t="str">
        <f t="shared" si="5"/>
        <v/>
      </c>
      <c r="AK17" s="17" t="str">
        <f t="shared" si="6"/>
        <v/>
      </c>
      <c r="AL17" s="17" t="str">
        <f t="shared" si="7"/>
        <v/>
      </c>
      <c r="AM17" s="17" t="str">
        <f t="shared" si="8"/>
        <v/>
      </c>
      <c r="AN17" s="43"/>
    </row>
    <row r="18" s="1" customFormat="1" ht="22" customHeight="1" spans="2:40"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 t="str">
        <f t="shared" ref="AH18:AH30" si="9">IF(B18="","",COUNTIF(C18:AG18,"√"))</f>
        <v/>
      </c>
      <c r="AI18" s="17" t="str">
        <f t="shared" ref="AI18:AI30" si="10">IF(B18="","",COUNTIF(C18:AG18,"×"))</f>
        <v/>
      </c>
      <c r="AJ18" s="17" t="str">
        <f t="shared" ref="AJ18:AJ30" si="11">IF(B18="","",COUNTIF(C18:AG18,"●"))</f>
        <v/>
      </c>
      <c r="AK18" s="17" t="str">
        <f t="shared" ref="AK18:AK30" si="12">IF(B18="","",COUNTIF(C18:AG18,"□"))</f>
        <v/>
      </c>
      <c r="AL18" s="17" t="str">
        <f t="shared" ref="AL18:AL30" si="13">IF(B18="","",COUNTIF(C18:AG18,"○"))</f>
        <v/>
      </c>
      <c r="AM18" s="17" t="str">
        <f t="shared" ref="AM18:AM30" si="14">IF(C18="","",COUNTIF(D18:AH18,"■"))</f>
        <v/>
      </c>
      <c r="AN18" s="43"/>
    </row>
    <row r="19" s="1" customFormat="1" ht="22" customHeight="1" spans="2:40"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 t="str">
        <f t="shared" si="9"/>
        <v/>
      </c>
      <c r="AI19" s="17" t="str">
        <f t="shared" si="10"/>
        <v/>
      </c>
      <c r="AJ19" s="17" t="str">
        <f t="shared" si="11"/>
        <v/>
      </c>
      <c r="AK19" s="17" t="str">
        <f t="shared" si="12"/>
        <v/>
      </c>
      <c r="AL19" s="17" t="str">
        <f t="shared" si="13"/>
        <v/>
      </c>
      <c r="AM19" s="17" t="str">
        <f t="shared" si="14"/>
        <v/>
      </c>
      <c r="AN19" s="43"/>
    </row>
    <row r="20" s="1" customFormat="1" ht="22" customHeight="1" spans="2:40"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 t="str">
        <f t="shared" si="9"/>
        <v/>
      </c>
      <c r="AI20" s="17" t="str">
        <f t="shared" si="10"/>
        <v/>
      </c>
      <c r="AJ20" s="17" t="str">
        <f t="shared" si="11"/>
        <v/>
      </c>
      <c r="AK20" s="17" t="str">
        <f t="shared" si="12"/>
        <v/>
      </c>
      <c r="AL20" s="17" t="str">
        <f t="shared" si="13"/>
        <v/>
      </c>
      <c r="AM20" s="17" t="str">
        <f t="shared" si="14"/>
        <v/>
      </c>
      <c r="AN20" s="43"/>
    </row>
    <row r="21" s="1" customFormat="1" ht="22" customHeight="1" spans="2:40"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 t="str">
        <f t="shared" si="9"/>
        <v/>
      </c>
      <c r="AI21" s="17" t="str">
        <f t="shared" si="10"/>
        <v/>
      </c>
      <c r="AJ21" s="17" t="str">
        <f t="shared" si="11"/>
        <v/>
      </c>
      <c r="AK21" s="17" t="str">
        <f t="shared" si="12"/>
        <v/>
      </c>
      <c r="AL21" s="17" t="str">
        <f t="shared" si="13"/>
        <v/>
      </c>
      <c r="AM21" s="17" t="str">
        <f t="shared" si="14"/>
        <v/>
      </c>
      <c r="AN21" s="43"/>
    </row>
    <row r="22" s="1" customFormat="1" ht="22" customHeight="1" spans="2:40"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 t="str">
        <f t="shared" si="9"/>
        <v/>
      </c>
      <c r="AI22" s="17" t="str">
        <f t="shared" si="10"/>
        <v/>
      </c>
      <c r="AJ22" s="17" t="str">
        <f t="shared" si="11"/>
        <v/>
      </c>
      <c r="AK22" s="17" t="str">
        <f t="shared" si="12"/>
        <v/>
      </c>
      <c r="AL22" s="17" t="str">
        <f t="shared" si="13"/>
        <v/>
      </c>
      <c r="AM22" s="17" t="str">
        <f t="shared" si="14"/>
        <v/>
      </c>
      <c r="AN22" s="43"/>
    </row>
    <row r="23" s="1" customFormat="1" ht="22" customHeight="1" spans="2:40"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 t="str">
        <f t="shared" si="9"/>
        <v/>
      </c>
      <c r="AI23" s="17" t="str">
        <f t="shared" si="10"/>
        <v/>
      </c>
      <c r="AJ23" s="17" t="str">
        <f t="shared" si="11"/>
        <v/>
      </c>
      <c r="AK23" s="17" t="str">
        <f t="shared" si="12"/>
        <v/>
      </c>
      <c r="AL23" s="17" t="str">
        <f t="shared" si="13"/>
        <v/>
      </c>
      <c r="AM23" s="17" t="str">
        <f t="shared" si="14"/>
        <v/>
      </c>
      <c r="AN23" s="43"/>
    </row>
    <row r="24" s="1" customFormat="1" ht="22" customHeight="1" spans="2:40"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 t="str">
        <f t="shared" si="9"/>
        <v/>
      </c>
      <c r="AI24" s="17" t="str">
        <f t="shared" si="10"/>
        <v/>
      </c>
      <c r="AJ24" s="17" t="str">
        <f t="shared" si="11"/>
        <v/>
      </c>
      <c r="AK24" s="17" t="str">
        <f t="shared" si="12"/>
        <v/>
      </c>
      <c r="AL24" s="17" t="str">
        <f t="shared" si="13"/>
        <v/>
      </c>
      <c r="AM24" s="17" t="str">
        <f t="shared" si="14"/>
        <v/>
      </c>
      <c r="AN24" s="43"/>
    </row>
    <row r="25" s="1" customFormat="1" ht="22" customHeight="1" spans="2:40"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 t="str">
        <f t="shared" si="9"/>
        <v/>
      </c>
      <c r="AI25" s="17" t="str">
        <f t="shared" si="10"/>
        <v/>
      </c>
      <c r="AJ25" s="17" t="str">
        <f t="shared" si="11"/>
        <v/>
      </c>
      <c r="AK25" s="17" t="str">
        <f t="shared" si="12"/>
        <v/>
      </c>
      <c r="AL25" s="17" t="str">
        <f t="shared" si="13"/>
        <v/>
      </c>
      <c r="AM25" s="17" t="str">
        <f t="shared" si="14"/>
        <v/>
      </c>
      <c r="AN25" s="43"/>
    </row>
    <row r="26" s="1" customFormat="1" ht="22" customHeight="1" spans="2:40"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 t="str">
        <f t="shared" si="9"/>
        <v/>
      </c>
      <c r="AI26" s="17" t="str">
        <f t="shared" si="10"/>
        <v/>
      </c>
      <c r="AJ26" s="17" t="str">
        <f t="shared" si="11"/>
        <v/>
      </c>
      <c r="AK26" s="17" t="str">
        <f t="shared" si="12"/>
        <v/>
      </c>
      <c r="AL26" s="17" t="str">
        <f t="shared" si="13"/>
        <v/>
      </c>
      <c r="AM26" s="17" t="str">
        <f t="shared" si="14"/>
        <v/>
      </c>
      <c r="AN26" s="43"/>
    </row>
    <row r="27" s="1" customFormat="1" ht="22" customHeight="1" spans="2:40"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 t="str">
        <f t="shared" si="9"/>
        <v/>
      </c>
      <c r="AI27" s="17" t="str">
        <f t="shared" si="10"/>
        <v/>
      </c>
      <c r="AJ27" s="17" t="str">
        <f t="shared" si="11"/>
        <v/>
      </c>
      <c r="AK27" s="17" t="str">
        <f t="shared" si="12"/>
        <v/>
      </c>
      <c r="AL27" s="17" t="str">
        <f t="shared" si="13"/>
        <v/>
      </c>
      <c r="AM27" s="17" t="str">
        <f t="shared" si="14"/>
        <v/>
      </c>
      <c r="AN27" s="43"/>
    </row>
    <row r="28" s="1" customFormat="1" ht="22" customHeight="1" spans="2:40"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 t="str">
        <f t="shared" si="9"/>
        <v/>
      </c>
      <c r="AI28" s="17" t="str">
        <f t="shared" si="10"/>
        <v/>
      </c>
      <c r="AJ28" s="17" t="str">
        <f t="shared" si="11"/>
        <v/>
      </c>
      <c r="AK28" s="17" t="str">
        <f t="shared" si="12"/>
        <v/>
      </c>
      <c r="AL28" s="17" t="str">
        <f t="shared" si="13"/>
        <v/>
      </c>
      <c r="AM28" s="17" t="str">
        <f t="shared" si="14"/>
        <v/>
      </c>
      <c r="AN28" s="43"/>
    </row>
    <row r="29" s="1" customFormat="1" ht="22" customHeight="1" spans="2:40"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 t="str">
        <f t="shared" si="9"/>
        <v/>
      </c>
      <c r="AI29" s="17" t="str">
        <f t="shared" si="10"/>
        <v/>
      </c>
      <c r="AJ29" s="17" t="str">
        <f t="shared" si="11"/>
        <v/>
      </c>
      <c r="AK29" s="17" t="str">
        <f t="shared" si="12"/>
        <v/>
      </c>
      <c r="AL29" s="17" t="str">
        <f t="shared" si="13"/>
        <v/>
      </c>
      <c r="AM29" s="17" t="str">
        <f t="shared" si="14"/>
        <v/>
      </c>
      <c r="AN29" s="43"/>
    </row>
    <row r="30" s="1" customFormat="1" ht="22" customHeight="1" spans="2:40"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 t="str">
        <f t="shared" si="9"/>
        <v/>
      </c>
      <c r="AI30" s="17" t="str">
        <f t="shared" si="10"/>
        <v/>
      </c>
      <c r="AJ30" s="17" t="str">
        <f t="shared" si="11"/>
        <v/>
      </c>
      <c r="AK30" s="17" t="str">
        <f t="shared" si="12"/>
        <v/>
      </c>
      <c r="AL30" s="17" t="str">
        <f t="shared" si="13"/>
        <v/>
      </c>
      <c r="AM30" s="17" t="str">
        <f t="shared" si="14"/>
        <v/>
      </c>
      <c r="AN30" s="43"/>
    </row>
  </sheetData>
  <mergeCells count="17">
    <mergeCell ref="B2:AN2"/>
    <mergeCell ref="B4:C4"/>
    <mergeCell ref="D4:E4"/>
    <mergeCell ref="G4:I4"/>
    <mergeCell ref="J4:K4"/>
    <mergeCell ref="M4:O4"/>
    <mergeCell ref="P4:Q4"/>
    <mergeCell ref="S4:U4"/>
    <mergeCell ref="V4:W4"/>
    <mergeCell ref="Y4:AA4"/>
    <mergeCell ref="AB4:AC4"/>
    <mergeCell ref="AB5:AC5"/>
    <mergeCell ref="C6:I6"/>
    <mergeCell ref="J6:L6"/>
    <mergeCell ref="R6:AI6"/>
    <mergeCell ref="B7:B8"/>
    <mergeCell ref="AN7:AN8"/>
  </mergeCells>
  <dataValidations count="3">
    <dataValidation type="list" allowBlank="1" showInputMessage="1" showErrorMessage="1" sqref="AM6">
      <formula1>"1,2,3,4,5,6,7,8,9,10,11,12"</formula1>
    </dataValidation>
    <dataValidation type="list" allowBlank="1" showInputMessage="1" showErrorMessage="1" sqref="C17:C30 D17:D30 E17:E30 F17:F30 G17:G30 H17:H30 I17:I30 J17:J30 K17:K30 L17:L30 M17:M30 N17:N30 O17:O30 P17:P30 Q17:Q30 R17:R30 S17:S30 T17:T30 U17:U30 V17:V30 W17:W30 X17:X30 Y17:Y30 Z17:Z30 AA17:AA30 AB17:AB30 AC17:AC30 AD17:AD30 AE17:AE30 AF17:AF30 AG17:AG30 G9:H16 C9:F16 I9:AG16">
      <formula1>"√,×,●,□,○,■"</formula1>
    </dataValidation>
    <dataValidation allowBlank="1" showInputMessage="1" showErrorMessage="1" sqref="AH17:AH30 AI17:AI30 AJ17:AJ30 AK17:AK30 AL17:AL30 AM17:AM30 AH9:AM16"/>
  </dataValidation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大禹贤德</cp:lastModifiedBy>
  <dcterms:created xsi:type="dcterms:W3CDTF">2020-10-07T06:11:00Z</dcterms:created>
  <dcterms:modified xsi:type="dcterms:W3CDTF">2022-07-31T22:01:07Z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FFEEEECEF06C4E8593518C67F86425B1</vt:lpwstr>
  </property>
  <property fmtid="{D5CDD505-2E9C-101B-9397-08002B2CF9AE}" pid="3" name="KSOProductBuildVer">
    <vt:lpwstr>2052-11.1.0.11744</vt:lpwstr>
  </property>
  <property fmtid="{D5CDD505-2E9C-101B-9397-08002B2CF9AE}" pid="4" name="KSOTemplateUUID">
    <vt:lpwstr>v1.0_mb_RcKv7L+oRUjGekEI8MlEYg==</vt:lpwstr>
  </property>
</Properties>
</file>