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140"/>
  </bookViews>
  <sheets>
    <sheet name="花名册" sheetId="1" r:id="rId1"/>
  </sheets>
  <calcPr calcId="144525"/>
</workbook>
</file>

<file path=xl/sharedStrings.xml><?xml version="1.0" encoding="utf-8"?>
<sst xmlns="http://schemas.openxmlformats.org/spreadsheetml/2006/main" count="47" uniqueCount="40">
  <si>
    <t>员工花名册-生日合同提醒</t>
  </si>
  <si>
    <t>生日提醒</t>
  </si>
  <si>
    <t>入职提醒</t>
  </si>
  <si>
    <t>合同提醒</t>
  </si>
  <si>
    <t>生日未到人数</t>
  </si>
  <si>
    <t>试用期到期人数</t>
  </si>
  <si>
    <t>合同未到期人数</t>
  </si>
  <si>
    <t>试用期未到期人数</t>
  </si>
  <si>
    <t>合同到期需签订人数</t>
  </si>
  <si>
    <t>基础信息</t>
  </si>
  <si>
    <t>入职信息</t>
  </si>
  <si>
    <t>合同信息</t>
  </si>
  <si>
    <t>备注</t>
  </si>
  <si>
    <t>序号</t>
  </si>
  <si>
    <t>部门</t>
  </si>
  <si>
    <t>员工名称</t>
  </si>
  <si>
    <t>出生日期</t>
  </si>
  <si>
    <t>入职日期</t>
  </si>
  <si>
    <t>试用期到期日</t>
  </si>
  <si>
    <t>到期提醒</t>
  </si>
  <si>
    <t>合同期限（年）</t>
  </si>
  <si>
    <t>合同到期日</t>
  </si>
  <si>
    <t>合同到期提醒</t>
  </si>
  <si>
    <t>就职状态</t>
  </si>
  <si>
    <t>财务部</t>
  </si>
  <si>
    <t>王甲</t>
  </si>
  <si>
    <t>销售部</t>
  </si>
  <si>
    <t>甲</t>
  </si>
  <si>
    <t>营销部</t>
  </si>
  <si>
    <t>乙</t>
  </si>
  <si>
    <t>直播部</t>
  </si>
  <si>
    <t>丙</t>
  </si>
  <si>
    <t>总经办</t>
  </si>
  <si>
    <t>丁</t>
  </si>
  <si>
    <t>戊</t>
  </si>
  <si>
    <t>己</t>
  </si>
  <si>
    <t>庚</t>
  </si>
  <si>
    <t>辛</t>
  </si>
  <si>
    <t>壬</t>
  </si>
  <si>
    <t>癸</t>
  </si>
</sst>
</file>

<file path=xl/styles.xml><?xml version="1.0" encoding="utf-8"?>
<styleSheet xmlns="http://schemas.openxmlformats.org/spreadsheetml/2006/main">
  <numFmts count="6">
    <numFmt numFmtId="176" formatCode="yyyy/m/d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yyyy&quot;年&quot;m&quot;月&quot;d&quot;日&quot;;@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name val="思源黑体 CN Bold"/>
      <charset val="134"/>
    </font>
    <font>
      <sz val="11"/>
      <name val="思源黑体 CN Bold"/>
      <charset val="134"/>
    </font>
    <font>
      <sz val="12"/>
      <color theme="0"/>
      <name val="思源黑体 CN Bold"/>
      <charset val="134"/>
    </font>
    <font>
      <sz val="22"/>
      <color theme="0"/>
      <name val="思源黑体 CN Bold"/>
      <charset val="134"/>
    </font>
    <font>
      <sz val="22"/>
      <name val="思源黑体 CN Bold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B74E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rgb="FF6B74E6"/>
      </left>
      <right style="thin">
        <color rgb="FF6B74E6"/>
      </right>
      <top style="thin">
        <color rgb="FF6B74E6"/>
      </top>
      <bottom style="thin">
        <color rgb="FF6B74E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3" fillId="25" borderId="14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13" borderId="13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0" fillId="21" borderId="1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6" fontId="3" fillId="2" borderId="0" xfId="0" applyNumberFormat="1" applyFont="1" applyFill="1" applyAlignment="1" applyProtection="1">
      <alignment vertical="center" shrinkToFit="1"/>
      <protection locked="0"/>
    </xf>
    <xf numFmtId="176" fontId="4" fillId="2" borderId="0" xfId="0" applyNumberFormat="1" applyFont="1" applyFill="1" applyAlignment="1" applyProtection="1">
      <alignment horizontal="center" vertical="center" shrinkToFit="1"/>
      <protection locked="0"/>
    </xf>
    <xf numFmtId="176" fontId="1" fillId="0" borderId="0" xfId="0" applyNumberFormat="1" applyFont="1" applyFill="1" applyAlignment="1" applyProtection="1">
      <alignment vertical="center" shrinkToFit="1"/>
      <protection locked="0"/>
    </xf>
    <xf numFmtId="176" fontId="5" fillId="0" borderId="0" xfId="0" applyNumberFormat="1" applyFont="1" applyFill="1" applyAlignment="1" applyProtection="1">
      <alignment horizontal="center" vertical="center" shrinkToFit="1"/>
      <protection locked="0"/>
    </xf>
    <xf numFmtId="176" fontId="1" fillId="0" borderId="0" xfId="0" applyNumberFormat="1" applyFont="1" applyFill="1" applyAlignment="1" applyProtection="1">
      <alignment horizontal="center" vertical="center" shrinkToFit="1"/>
      <protection locked="0"/>
    </xf>
    <xf numFmtId="176" fontId="3" fillId="2" borderId="1" xfId="0" applyNumberFormat="1" applyFont="1" applyFill="1" applyBorder="1" applyAlignment="1" applyProtection="1">
      <alignment horizontal="center" vertical="center" shrinkToFit="1"/>
      <protection locked="0"/>
    </xf>
    <xf numFmtId="176" fontId="3" fillId="2" borderId="2" xfId="0" applyNumberFormat="1" applyFont="1" applyFill="1" applyBorder="1" applyAlignment="1" applyProtection="1">
      <alignment horizontal="center" vertical="center" shrinkToFit="1"/>
      <protection locked="0"/>
    </xf>
    <xf numFmtId="176" fontId="3" fillId="2" borderId="3" xfId="0" applyNumberFormat="1" applyFont="1" applyFill="1" applyBorder="1" applyAlignment="1" applyProtection="1">
      <alignment horizontal="center" vertical="center" shrinkToFit="1"/>
      <protection locked="0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176" fontId="1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6" xfId="0" applyNumberFormat="1" applyFont="1" applyFill="1" applyBorder="1" applyAlignment="1" applyProtection="1">
      <alignment horizontal="center" vertical="center" shrinkToFit="1"/>
      <protection locked="0"/>
    </xf>
    <xf numFmtId="176" fontId="3" fillId="2" borderId="7" xfId="0" applyNumberFormat="1" applyFont="1" applyFill="1" applyBorder="1" applyAlignment="1" applyProtection="1">
      <alignment horizontal="center" vertical="center" shrinkToFit="1"/>
      <protection locked="0"/>
    </xf>
    <xf numFmtId="14" fontId="2" fillId="0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7" fontId="2" fillId="3" borderId="5" xfId="0" applyNumberFormat="1" applyFont="1" applyFill="1" applyBorder="1" applyAlignment="1">
      <alignment horizontal="center" vertical="center"/>
    </xf>
    <xf numFmtId="176" fontId="3" fillId="2" borderId="8" xfId="0" applyNumberFormat="1" applyFont="1" applyFill="1" applyBorder="1" applyAlignment="1" applyProtection="1">
      <alignment horizontal="center" vertical="center" shrinkToFit="1"/>
      <protection locked="0"/>
    </xf>
    <xf numFmtId="176" fontId="3" fillId="2" borderId="9" xfId="0" applyNumberFormat="1" applyFont="1" applyFill="1" applyBorder="1" applyAlignment="1" applyProtection="1">
      <alignment horizontal="center" vertical="center" shrinkToFit="1"/>
      <protection locked="0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000000"/>
      <color rgb="006B74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1"/>
  <sheetViews>
    <sheetView showGridLines="0" tabSelected="1" workbookViewId="0">
      <selection activeCell="H33" sqref="H33"/>
    </sheetView>
  </sheetViews>
  <sheetFormatPr defaultColWidth="9" defaultRowHeight="16.8"/>
  <cols>
    <col min="1" max="1" width="1.25" style="3" customWidth="1"/>
    <col min="2" max="2" width="5.25" style="3" customWidth="1"/>
    <col min="3" max="3" width="9" style="3"/>
    <col min="4" max="6" width="12.5" style="3" customWidth="1"/>
    <col min="7" max="7" width="13.875" style="3" customWidth="1"/>
    <col min="8" max="8" width="18.125" style="3" customWidth="1"/>
    <col min="9" max="9" width="12.5" style="3" customWidth="1"/>
    <col min="10" max="10" width="13.75" style="3" customWidth="1"/>
    <col min="11" max="11" width="18.875" style="4" customWidth="1"/>
    <col min="12" max="12" width="14.25" style="4" customWidth="1"/>
    <col min="13" max="13" width="11.125" style="4" customWidth="1"/>
    <col min="14" max="14" width="10.75" style="4" customWidth="1"/>
    <col min="15" max="15" width="1.75" style="3" customWidth="1"/>
    <col min="16" max="16384" width="9" style="3"/>
  </cols>
  <sheetData>
    <row r="1" ht="12" customHeight="1"/>
    <row r="2" s="1" customFormat="1" ht="41" customHeight="1" spans="2:14">
      <c r="B2" s="5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16" customHeight="1" spans="2:14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="2" customFormat="1" ht="19" customHeight="1" spans="2:14">
      <c r="B4" s="9"/>
      <c r="C4" s="9"/>
      <c r="D4" s="9"/>
      <c r="E4" s="16" t="s">
        <v>1</v>
      </c>
      <c r="F4" s="16"/>
      <c r="G4" s="9"/>
      <c r="H4" s="16" t="s">
        <v>2</v>
      </c>
      <c r="I4" s="16"/>
      <c r="J4" s="9"/>
      <c r="K4" s="16" t="s">
        <v>3</v>
      </c>
      <c r="L4" s="16"/>
      <c r="M4" s="9"/>
      <c r="N4" s="9"/>
    </row>
    <row r="5" s="2" customFormat="1" ht="19" customHeight="1" spans="2:14">
      <c r="B5" s="9"/>
      <c r="C5" s="9"/>
      <c r="D5" s="9"/>
      <c r="E5" s="16" t="s">
        <v>4</v>
      </c>
      <c r="F5" s="17">
        <f ca="1">COUNTIF($F$11:$F$41000,"生日未到")</f>
        <v>0</v>
      </c>
      <c r="G5" s="9"/>
      <c r="H5" s="16" t="s">
        <v>5</v>
      </c>
      <c r="I5" s="17">
        <f ca="1">COUNTIF($I$11:$I$41000,"到期")</f>
        <v>11</v>
      </c>
      <c r="J5" s="9"/>
      <c r="K5" s="16" t="s">
        <v>6</v>
      </c>
      <c r="L5" s="17">
        <f ca="1">COUNTIF($L$11:$L$41000,"未到期")</f>
        <v>4</v>
      </c>
      <c r="M5" s="9"/>
      <c r="N5" s="9"/>
    </row>
    <row r="6" s="2" customFormat="1" ht="19" customHeight="1" spans="2:14">
      <c r="B6" s="9"/>
      <c r="C6" s="9"/>
      <c r="D6" s="9"/>
      <c r="E6" s="9"/>
      <c r="F6" s="9"/>
      <c r="G6" s="9"/>
      <c r="H6" s="16" t="s">
        <v>7</v>
      </c>
      <c r="I6" s="17">
        <f ca="1">COUNTIF($I$11:$I$41000,"未到期")</f>
        <v>0</v>
      </c>
      <c r="J6" s="9"/>
      <c r="K6" s="16" t="s">
        <v>8</v>
      </c>
      <c r="L6" s="17">
        <f ca="1">COUNTIF($L$11:$L$41000,"到期需签订")</f>
        <v>7</v>
      </c>
      <c r="M6" s="9"/>
      <c r="N6" s="9"/>
    </row>
    <row r="7" s="1" customFormat="1" ht="16" customHeight="1" spans="2:14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ht="6" customHeight="1" spans="11:14">
      <c r="K8" s="3"/>
      <c r="L8" s="3"/>
      <c r="M8" s="3"/>
      <c r="N8" s="3"/>
    </row>
    <row r="9" ht="23" customHeight="1" spans="2:14">
      <c r="B9" s="10" t="s">
        <v>9</v>
      </c>
      <c r="C9" s="11"/>
      <c r="D9" s="11"/>
      <c r="E9" s="11"/>
      <c r="F9" s="18"/>
      <c r="G9" s="10" t="s">
        <v>10</v>
      </c>
      <c r="H9" s="11"/>
      <c r="I9" s="18"/>
      <c r="J9" s="10" t="s">
        <v>11</v>
      </c>
      <c r="K9" s="11"/>
      <c r="L9" s="11"/>
      <c r="M9" s="18"/>
      <c r="N9" s="25" t="s">
        <v>12</v>
      </c>
    </row>
    <row r="10" s="3" customFormat="1" ht="23" customHeight="1" spans="2:14"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</v>
      </c>
      <c r="G10" s="12" t="s">
        <v>17</v>
      </c>
      <c r="H10" s="12" t="s">
        <v>18</v>
      </c>
      <c r="I10" s="12" t="s">
        <v>19</v>
      </c>
      <c r="J10" s="12" t="s">
        <v>20</v>
      </c>
      <c r="K10" s="12" t="s">
        <v>21</v>
      </c>
      <c r="L10" s="12" t="s">
        <v>22</v>
      </c>
      <c r="M10" s="12" t="s">
        <v>23</v>
      </c>
      <c r="N10" s="26"/>
    </row>
    <row r="11" ht="20" customHeight="1" spans="2:14">
      <c r="B11" s="13">
        <v>1</v>
      </c>
      <c r="C11" s="13" t="s">
        <v>24</v>
      </c>
      <c r="D11" s="13" t="s">
        <v>25</v>
      </c>
      <c r="E11" s="19">
        <v>34543</v>
      </c>
      <c r="F11" s="20" t="str">
        <f ca="1">IFERROR(TEXT(TEXT(E11,"mm-dd")-TODAY(),"0天后生日;生日未到;今天生日"),"")</f>
        <v>177天后生日</v>
      </c>
      <c r="G11" s="19">
        <v>43586</v>
      </c>
      <c r="H11" s="19">
        <v>43677</v>
      </c>
      <c r="I11" s="22" t="str">
        <f ca="1">IF(H11="","-",IF(H11&lt;=TODAY(),"到期","未到期"))</f>
        <v>到期</v>
      </c>
      <c r="J11" s="13">
        <v>5</v>
      </c>
      <c r="K11" s="23">
        <f>IF(G11="","-",DATE(YEAR(G11)+J11,MONTH(G11),DAY(G11)-1))</f>
        <v>45412</v>
      </c>
      <c r="L11" s="23" t="str">
        <f ca="1" t="shared" ref="L11:L22" si="0">IF(K11="-","-",IF(K11&lt;=TODAY(),"到期需签订","未到期"))</f>
        <v>未到期</v>
      </c>
      <c r="M11" s="27"/>
      <c r="N11" s="27"/>
    </row>
    <row r="12" ht="20" customHeight="1" spans="2:14">
      <c r="B12" s="14">
        <v>2</v>
      </c>
      <c r="C12" s="14" t="s">
        <v>26</v>
      </c>
      <c r="D12" s="14" t="s">
        <v>27</v>
      </c>
      <c r="E12" s="21">
        <v>34005</v>
      </c>
      <c r="F12" s="20" t="str">
        <f ca="1" t="shared" ref="F12:F41" si="1">IFERROR(TEXT(TEXT(E12,"mm-dd")-TODAY(),"0天后生日;生日未到;今天生日"),"")</f>
        <v>4天后生日</v>
      </c>
      <c r="G12" s="21">
        <v>44167</v>
      </c>
      <c r="H12" s="21">
        <v>44256</v>
      </c>
      <c r="I12" s="22" t="str">
        <f ca="1" t="shared" ref="I12:I27" si="2">IF(H12="","-",IF(H12&lt;=TODAY(),"到期","未到期"))</f>
        <v>到期</v>
      </c>
      <c r="J12" s="14">
        <v>1</v>
      </c>
      <c r="K12" s="24">
        <f t="shared" ref="K12:K31" si="3">IF(G12="","-",DATE(YEAR(G12)+J12,MONTH(G12),DAY(G12)-1))</f>
        <v>44531</v>
      </c>
      <c r="L12" s="24" t="str">
        <f ca="1" t="shared" si="0"/>
        <v>到期需签订</v>
      </c>
      <c r="M12" s="28"/>
      <c r="N12" s="28"/>
    </row>
    <row r="13" ht="20" customHeight="1" spans="2:14">
      <c r="B13" s="14">
        <v>3</v>
      </c>
      <c r="C13" s="14" t="s">
        <v>28</v>
      </c>
      <c r="D13" s="14" t="s">
        <v>29</v>
      </c>
      <c r="E13" s="21">
        <v>33424</v>
      </c>
      <c r="F13" s="20" t="str">
        <f ca="1" t="shared" si="1"/>
        <v>154天后生日</v>
      </c>
      <c r="G13" s="21">
        <v>44015</v>
      </c>
      <c r="H13" s="21">
        <v>44106</v>
      </c>
      <c r="I13" s="22" t="str">
        <f ca="1" t="shared" si="2"/>
        <v>到期</v>
      </c>
      <c r="J13" s="14">
        <v>1</v>
      </c>
      <c r="K13" s="24">
        <f t="shared" si="3"/>
        <v>44379</v>
      </c>
      <c r="L13" s="24" t="str">
        <f ca="1" t="shared" si="0"/>
        <v>到期需签订</v>
      </c>
      <c r="M13" s="28"/>
      <c r="N13" s="28"/>
    </row>
    <row r="14" ht="20" customHeight="1" spans="2:14">
      <c r="B14" s="14">
        <v>4</v>
      </c>
      <c r="C14" s="14" t="s">
        <v>30</v>
      </c>
      <c r="D14" s="14" t="s">
        <v>31</v>
      </c>
      <c r="E14" s="21">
        <v>31993</v>
      </c>
      <c r="F14" s="20" t="str">
        <f ca="1" t="shared" si="1"/>
        <v>184天后生日</v>
      </c>
      <c r="G14" s="21">
        <v>44169</v>
      </c>
      <c r="H14" s="21">
        <v>44258</v>
      </c>
      <c r="I14" s="22" t="str">
        <f ca="1" t="shared" si="2"/>
        <v>到期</v>
      </c>
      <c r="J14" s="14">
        <v>4</v>
      </c>
      <c r="K14" s="24">
        <f t="shared" si="3"/>
        <v>45629</v>
      </c>
      <c r="L14" s="24" t="str">
        <f ca="1" t="shared" si="0"/>
        <v>未到期</v>
      </c>
      <c r="M14" s="28"/>
      <c r="N14" s="28"/>
    </row>
    <row r="15" ht="20" customHeight="1" spans="2:14">
      <c r="B15" s="14">
        <v>5</v>
      </c>
      <c r="C15" s="14" t="s">
        <v>32</v>
      </c>
      <c r="D15" s="14" t="s">
        <v>33</v>
      </c>
      <c r="E15" s="21">
        <v>23472</v>
      </c>
      <c r="F15" s="20" t="str">
        <f ca="1" t="shared" si="1"/>
        <v>63天后生日</v>
      </c>
      <c r="G15" s="21">
        <v>44170</v>
      </c>
      <c r="H15" s="21">
        <v>44788</v>
      </c>
      <c r="I15" s="22" t="str">
        <f ca="1" t="shared" si="2"/>
        <v>到期</v>
      </c>
      <c r="J15" s="14">
        <v>1</v>
      </c>
      <c r="K15" s="24">
        <f t="shared" si="3"/>
        <v>44534</v>
      </c>
      <c r="L15" s="24" t="str">
        <f ca="1" t="shared" si="0"/>
        <v>到期需签订</v>
      </c>
      <c r="M15" s="28"/>
      <c r="N15" s="28"/>
    </row>
    <row r="16" ht="20" customHeight="1" spans="2:14">
      <c r="B16" s="14">
        <v>6</v>
      </c>
      <c r="C16" s="13" t="s">
        <v>24</v>
      </c>
      <c r="D16" s="14" t="s">
        <v>34</v>
      </c>
      <c r="E16" s="21">
        <v>31133</v>
      </c>
      <c r="F16" s="20" t="str">
        <f ca="1" t="shared" si="1"/>
        <v>54天后生日</v>
      </c>
      <c r="G16" s="21">
        <v>43805</v>
      </c>
      <c r="H16" s="21">
        <v>43895</v>
      </c>
      <c r="I16" s="22" t="str">
        <f ca="1" t="shared" si="2"/>
        <v>到期</v>
      </c>
      <c r="J16" s="14">
        <v>2</v>
      </c>
      <c r="K16" s="24">
        <f t="shared" si="3"/>
        <v>44535</v>
      </c>
      <c r="L16" s="24" t="str">
        <f ca="1" t="shared" si="0"/>
        <v>到期需签订</v>
      </c>
      <c r="M16" s="28"/>
      <c r="N16" s="28"/>
    </row>
    <row r="17" ht="20" customHeight="1" spans="2:14">
      <c r="B17" s="14">
        <v>7</v>
      </c>
      <c r="C17" s="14" t="s">
        <v>26</v>
      </c>
      <c r="D17" s="14" t="s">
        <v>35</v>
      </c>
      <c r="E17" s="21">
        <v>23938</v>
      </c>
      <c r="F17" s="20" t="str">
        <f ca="1" t="shared" si="1"/>
        <v>164天后生日</v>
      </c>
      <c r="G17" s="21">
        <v>44172</v>
      </c>
      <c r="H17" s="21">
        <v>44261</v>
      </c>
      <c r="I17" s="22" t="str">
        <f ca="1" t="shared" si="2"/>
        <v>到期</v>
      </c>
      <c r="J17" s="14">
        <v>6</v>
      </c>
      <c r="K17" s="24">
        <f t="shared" si="3"/>
        <v>46362</v>
      </c>
      <c r="L17" s="24" t="str">
        <f ca="1" t="shared" si="0"/>
        <v>未到期</v>
      </c>
      <c r="M17" s="28"/>
      <c r="N17" s="28"/>
    </row>
    <row r="18" ht="20" customHeight="1" spans="2:14">
      <c r="B18" s="14">
        <v>8</v>
      </c>
      <c r="C18" s="14" t="s">
        <v>28</v>
      </c>
      <c r="D18" s="14" t="s">
        <v>36</v>
      </c>
      <c r="E18" s="21">
        <v>34516</v>
      </c>
      <c r="F18" s="20" t="str">
        <f ca="1" t="shared" si="1"/>
        <v>150天后生日</v>
      </c>
      <c r="G18" s="21">
        <v>44173</v>
      </c>
      <c r="H18" s="21">
        <v>44788</v>
      </c>
      <c r="I18" s="22" t="str">
        <f ca="1" t="shared" si="2"/>
        <v>到期</v>
      </c>
      <c r="J18" s="14">
        <v>1</v>
      </c>
      <c r="K18" s="24">
        <f t="shared" si="3"/>
        <v>44537</v>
      </c>
      <c r="L18" s="24" t="str">
        <f ca="1" t="shared" si="0"/>
        <v>到期需签订</v>
      </c>
      <c r="M18" s="28"/>
      <c r="N18" s="28"/>
    </row>
    <row r="19" ht="20" customHeight="1" spans="2:14">
      <c r="B19" s="14">
        <v>9</v>
      </c>
      <c r="C19" s="14" t="s">
        <v>30</v>
      </c>
      <c r="D19" s="14" t="s">
        <v>37</v>
      </c>
      <c r="E19" s="21">
        <v>34517</v>
      </c>
      <c r="F19" s="20" t="str">
        <f ca="1" t="shared" si="1"/>
        <v>151天后生日</v>
      </c>
      <c r="G19" s="21">
        <v>44174</v>
      </c>
      <c r="H19" s="21">
        <v>44263</v>
      </c>
      <c r="I19" s="22" t="str">
        <f ca="1" t="shared" si="2"/>
        <v>到期</v>
      </c>
      <c r="J19" s="14">
        <v>7</v>
      </c>
      <c r="K19" s="24">
        <f t="shared" si="3"/>
        <v>46729</v>
      </c>
      <c r="L19" s="24" t="str">
        <f ca="1" t="shared" si="0"/>
        <v>未到期</v>
      </c>
      <c r="M19" s="28"/>
      <c r="N19" s="28"/>
    </row>
    <row r="20" ht="20" customHeight="1" spans="2:14">
      <c r="B20" s="14">
        <v>10</v>
      </c>
      <c r="C20" s="14" t="s">
        <v>32</v>
      </c>
      <c r="D20" s="14" t="s">
        <v>38</v>
      </c>
      <c r="E20" s="21">
        <v>31907</v>
      </c>
      <c r="F20" s="20" t="str">
        <f ca="1" t="shared" si="1"/>
        <v>98天后生日</v>
      </c>
      <c r="G20" s="21">
        <v>44175</v>
      </c>
      <c r="H20" s="21">
        <v>44788</v>
      </c>
      <c r="I20" s="22" t="str">
        <f ca="1" t="shared" si="2"/>
        <v>到期</v>
      </c>
      <c r="J20" s="14">
        <v>1</v>
      </c>
      <c r="K20" s="24">
        <f t="shared" si="3"/>
        <v>44539</v>
      </c>
      <c r="L20" s="24" t="str">
        <f ca="1" t="shared" si="0"/>
        <v>到期需签订</v>
      </c>
      <c r="M20" s="28"/>
      <c r="N20" s="28"/>
    </row>
    <row r="21" ht="20" customHeight="1" spans="2:14">
      <c r="B21" s="14">
        <v>11</v>
      </c>
      <c r="C21" s="13" t="s">
        <v>24</v>
      </c>
      <c r="D21" s="14" t="s">
        <v>39</v>
      </c>
      <c r="E21" s="21">
        <v>36986</v>
      </c>
      <c r="F21" s="20" t="str">
        <f ca="1" t="shared" si="1"/>
        <v>63天后生日</v>
      </c>
      <c r="G21" s="21">
        <v>44176</v>
      </c>
      <c r="H21" s="21">
        <v>44265</v>
      </c>
      <c r="I21" s="22" t="str">
        <f ca="1" t="shared" si="2"/>
        <v>到期</v>
      </c>
      <c r="J21" s="14">
        <v>1</v>
      </c>
      <c r="K21" s="24">
        <f t="shared" si="3"/>
        <v>44540</v>
      </c>
      <c r="L21" s="24" t="str">
        <f ca="1" t="shared" si="0"/>
        <v>到期需签订</v>
      </c>
      <c r="M21" s="28"/>
      <c r="N21" s="28"/>
    </row>
    <row r="22" ht="20" customHeight="1" spans="2:14">
      <c r="B22" s="14"/>
      <c r="C22" s="14"/>
      <c r="D22" s="14"/>
      <c r="E22" s="14"/>
      <c r="F22" s="20" t="str">
        <f ca="1" t="shared" si="1"/>
        <v/>
      </c>
      <c r="G22" s="21"/>
      <c r="H22" s="21"/>
      <c r="I22" s="22" t="str">
        <f ca="1" t="shared" si="2"/>
        <v>-</v>
      </c>
      <c r="J22" s="14"/>
      <c r="K22" s="24" t="str">
        <f t="shared" si="3"/>
        <v>-</v>
      </c>
      <c r="L22" s="24" t="str">
        <f ca="1" t="shared" si="0"/>
        <v>-</v>
      </c>
      <c r="M22" s="28"/>
      <c r="N22" s="28"/>
    </row>
    <row r="23" ht="20" customHeight="1" spans="2:14">
      <c r="B23" s="14"/>
      <c r="C23" s="14"/>
      <c r="D23" s="14"/>
      <c r="E23" s="14"/>
      <c r="F23" s="20" t="str">
        <f ca="1" t="shared" si="1"/>
        <v/>
      </c>
      <c r="G23" s="21"/>
      <c r="H23" s="21"/>
      <c r="I23" s="22" t="str">
        <f ca="1" t="shared" ref="I23:I41" si="4">IF(H23="","-",IF(H23&lt;=TODAY(),"到期","未到期"))</f>
        <v>-</v>
      </c>
      <c r="J23" s="14"/>
      <c r="K23" s="24" t="str">
        <f t="shared" ref="K23:K41" si="5">IF(G23="","-",DATE(YEAR(G23)+J23,MONTH(G23),DAY(G23)-1))</f>
        <v>-</v>
      </c>
      <c r="L23" s="24" t="str">
        <f ca="1" t="shared" ref="L23:L41" si="6">IF(K23="-","-",IF(K23&lt;=TODAY(),"到期需签订","未到期"))</f>
        <v>-</v>
      </c>
      <c r="M23" s="28"/>
      <c r="N23" s="28"/>
    </row>
    <row r="24" ht="20" customHeight="1" spans="2:14">
      <c r="B24" s="14"/>
      <c r="C24" s="14"/>
      <c r="D24" s="14"/>
      <c r="E24" s="14"/>
      <c r="F24" s="20" t="str">
        <f ca="1" t="shared" si="1"/>
        <v/>
      </c>
      <c r="G24" s="21"/>
      <c r="H24" s="21"/>
      <c r="I24" s="22" t="str">
        <f ca="1" t="shared" si="4"/>
        <v>-</v>
      </c>
      <c r="J24" s="14"/>
      <c r="K24" s="24" t="str">
        <f t="shared" si="5"/>
        <v>-</v>
      </c>
      <c r="L24" s="24" t="str">
        <f ca="1" t="shared" si="6"/>
        <v>-</v>
      </c>
      <c r="M24" s="28"/>
      <c r="N24" s="28"/>
    </row>
    <row r="25" ht="20" customHeight="1" spans="2:14">
      <c r="B25" s="14"/>
      <c r="C25" s="14"/>
      <c r="D25" s="14"/>
      <c r="E25" s="14"/>
      <c r="F25" s="20" t="str">
        <f ca="1" t="shared" si="1"/>
        <v/>
      </c>
      <c r="G25" s="21"/>
      <c r="H25" s="21"/>
      <c r="I25" s="22" t="str">
        <f ca="1" t="shared" si="4"/>
        <v>-</v>
      </c>
      <c r="J25" s="14"/>
      <c r="K25" s="24" t="str">
        <f t="shared" si="5"/>
        <v>-</v>
      </c>
      <c r="L25" s="24" t="str">
        <f ca="1" t="shared" si="6"/>
        <v>-</v>
      </c>
      <c r="M25" s="28"/>
      <c r="N25" s="28"/>
    </row>
    <row r="26" ht="20" customHeight="1" spans="2:14">
      <c r="B26" s="14"/>
      <c r="C26" s="14"/>
      <c r="D26" s="14"/>
      <c r="E26" s="14"/>
      <c r="F26" s="20" t="str">
        <f ca="1" t="shared" si="1"/>
        <v/>
      </c>
      <c r="G26" s="21"/>
      <c r="H26" s="21"/>
      <c r="I26" s="22" t="str">
        <f ca="1" t="shared" si="4"/>
        <v>-</v>
      </c>
      <c r="J26" s="14"/>
      <c r="K26" s="24" t="str">
        <f t="shared" si="5"/>
        <v>-</v>
      </c>
      <c r="L26" s="24" t="str">
        <f ca="1" t="shared" si="6"/>
        <v>-</v>
      </c>
      <c r="M26" s="28"/>
      <c r="N26" s="28"/>
    </row>
    <row r="27" ht="20" customHeight="1" spans="2:14">
      <c r="B27" s="14"/>
      <c r="C27" s="14"/>
      <c r="D27" s="14"/>
      <c r="E27" s="14"/>
      <c r="F27" s="20" t="str">
        <f ca="1" t="shared" si="1"/>
        <v/>
      </c>
      <c r="G27" s="21"/>
      <c r="H27" s="21"/>
      <c r="I27" s="22" t="str">
        <f ca="1" t="shared" si="4"/>
        <v>-</v>
      </c>
      <c r="J27" s="14"/>
      <c r="K27" s="24" t="str">
        <f t="shared" si="5"/>
        <v>-</v>
      </c>
      <c r="L27" s="24" t="str">
        <f ca="1" t="shared" si="6"/>
        <v>-</v>
      </c>
      <c r="M27" s="28"/>
      <c r="N27" s="28"/>
    </row>
    <row r="28" ht="20" customHeight="1" spans="2:14">
      <c r="B28" s="14"/>
      <c r="C28" s="14"/>
      <c r="D28" s="14"/>
      <c r="E28" s="14"/>
      <c r="F28" s="20" t="str">
        <f ca="1" t="shared" si="1"/>
        <v/>
      </c>
      <c r="G28" s="21"/>
      <c r="H28" s="21"/>
      <c r="I28" s="22" t="str">
        <f ca="1" t="shared" si="4"/>
        <v>-</v>
      </c>
      <c r="J28" s="14"/>
      <c r="K28" s="24" t="str">
        <f t="shared" si="5"/>
        <v>-</v>
      </c>
      <c r="L28" s="24" t="str">
        <f ca="1" t="shared" si="6"/>
        <v>-</v>
      </c>
      <c r="M28" s="28"/>
      <c r="N28" s="28"/>
    </row>
    <row r="29" ht="20" customHeight="1" spans="2:14">
      <c r="B29" s="14"/>
      <c r="C29" s="14"/>
      <c r="D29" s="14"/>
      <c r="E29" s="14"/>
      <c r="F29" s="20" t="str">
        <f ca="1" t="shared" si="1"/>
        <v/>
      </c>
      <c r="G29" s="21"/>
      <c r="H29" s="21"/>
      <c r="I29" s="22" t="str">
        <f ca="1" t="shared" si="4"/>
        <v>-</v>
      </c>
      <c r="J29" s="14"/>
      <c r="K29" s="24" t="str">
        <f t="shared" si="5"/>
        <v>-</v>
      </c>
      <c r="L29" s="24" t="str">
        <f ca="1" t="shared" si="6"/>
        <v>-</v>
      </c>
      <c r="M29" s="28"/>
      <c r="N29" s="28"/>
    </row>
    <row r="30" ht="20" customHeight="1" spans="2:14">
      <c r="B30" s="14"/>
      <c r="C30" s="14"/>
      <c r="D30" s="14"/>
      <c r="E30" s="14"/>
      <c r="F30" s="20" t="str">
        <f ca="1" t="shared" si="1"/>
        <v/>
      </c>
      <c r="G30" s="21"/>
      <c r="H30" s="21"/>
      <c r="I30" s="22" t="str">
        <f ca="1" t="shared" si="4"/>
        <v>-</v>
      </c>
      <c r="J30" s="14"/>
      <c r="K30" s="24" t="str">
        <f t="shared" si="5"/>
        <v>-</v>
      </c>
      <c r="L30" s="24" t="str">
        <f ca="1" t="shared" si="6"/>
        <v>-</v>
      </c>
      <c r="M30" s="28"/>
      <c r="N30" s="28"/>
    </row>
    <row r="31" ht="22" customHeight="1" spans="2:14">
      <c r="B31" s="14"/>
      <c r="C31" s="14"/>
      <c r="D31" s="14"/>
      <c r="E31" s="14"/>
      <c r="F31" s="20" t="str">
        <f ca="1" t="shared" si="1"/>
        <v/>
      </c>
      <c r="G31" s="21"/>
      <c r="H31" s="21"/>
      <c r="I31" s="22" t="str">
        <f ca="1" t="shared" si="4"/>
        <v>-</v>
      </c>
      <c r="J31" s="14"/>
      <c r="K31" s="24" t="str">
        <f t="shared" si="5"/>
        <v>-</v>
      </c>
      <c r="L31" s="24" t="str">
        <f ca="1" t="shared" si="6"/>
        <v>-</v>
      </c>
      <c r="M31" s="28"/>
      <c r="N31" s="28"/>
    </row>
    <row r="32" spans="2:14">
      <c r="B32" s="15"/>
      <c r="C32" s="15"/>
      <c r="D32" s="15"/>
      <c r="E32" s="15"/>
      <c r="F32" s="20" t="str">
        <f ca="1" t="shared" si="1"/>
        <v/>
      </c>
      <c r="G32" s="15"/>
      <c r="H32" s="15"/>
      <c r="I32" s="22" t="str">
        <f ca="1" t="shared" si="4"/>
        <v>-</v>
      </c>
      <c r="J32" s="15"/>
      <c r="K32" s="24" t="str">
        <f t="shared" si="5"/>
        <v>-</v>
      </c>
      <c r="L32" s="24" t="str">
        <f ca="1" t="shared" si="6"/>
        <v>-</v>
      </c>
      <c r="M32" s="29"/>
      <c r="N32" s="29"/>
    </row>
    <row r="33" spans="2:14">
      <c r="B33" s="15"/>
      <c r="C33" s="15"/>
      <c r="D33" s="15"/>
      <c r="E33" s="15"/>
      <c r="F33" s="20" t="str">
        <f ca="1" t="shared" si="1"/>
        <v/>
      </c>
      <c r="G33" s="15"/>
      <c r="H33" s="15"/>
      <c r="I33" s="22" t="str">
        <f ca="1" t="shared" si="4"/>
        <v>-</v>
      </c>
      <c r="J33" s="15"/>
      <c r="K33" s="24" t="str">
        <f t="shared" si="5"/>
        <v>-</v>
      </c>
      <c r="L33" s="24" t="str">
        <f ca="1" t="shared" si="6"/>
        <v>-</v>
      </c>
      <c r="M33" s="29"/>
      <c r="N33" s="29"/>
    </row>
    <row r="34" spans="2:14">
      <c r="B34" s="15"/>
      <c r="C34" s="15"/>
      <c r="D34" s="15"/>
      <c r="E34" s="15"/>
      <c r="F34" s="20" t="str">
        <f ca="1" t="shared" si="1"/>
        <v/>
      </c>
      <c r="G34" s="15"/>
      <c r="H34" s="15"/>
      <c r="I34" s="22" t="str">
        <f ca="1" t="shared" si="4"/>
        <v>-</v>
      </c>
      <c r="J34" s="15"/>
      <c r="K34" s="24" t="str">
        <f t="shared" si="5"/>
        <v>-</v>
      </c>
      <c r="L34" s="24" t="str">
        <f ca="1" t="shared" si="6"/>
        <v>-</v>
      </c>
      <c r="M34" s="29"/>
      <c r="N34" s="29"/>
    </row>
    <row r="35" spans="2:14">
      <c r="B35" s="15"/>
      <c r="C35" s="15"/>
      <c r="D35" s="15"/>
      <c r="E35" s="15"/>
      <c r="F35" s="20" t="str">
        <f ca="1" t="shared" si="1"/>
        <v/>
      </c>
      <c r="G35" s="15"/>
      <c r="H35" s="15"/>
      <c r="I35" s="22" t="str">
        <f ca="1" t="shared" si="4"/>
        <v>-</v>
      </c>
      <c r="J35" s="15"/>
      <c r="K35" s="24" t="str">
        <f t="shared" si="5"/>
        <v>-</v>
      </c>
      <c r="L35" s="24" t="str">
        <f ca="1" t="shared" si="6"/>
        <v>-</v>
      </c>
      <c r="M35" s="29"/>
      <c r="N35" s="29"/>
    </row>
    <row r="36" spans="2:14">
      <c r="B36" s="15"/>
      <c r="C36" s="15"/>
      <c r="D36" s="15"/>
      <c r="E36" s="15"/>
      <c r="F36" s="20" t="str">
        <f ca="1" t="shared" si="1"/>
        <v/>
      </c>
      <c r="G36" s="15"/>
      <c r="H36" s="15"/>
      <c r="I36" s="22" t="str">
        <f ca="1" t="shared" si="4"/>
        <v>-</v>
      </c>
      <c r="J36" s="15"/>
      <c r="K36" s="24" t="str">
        <f t="shared" si="5"/>
        <v>-</v>
      </c>
      <c r="L36" s="24" t="str">
        <f ca="1" t="shared" si="6"/>
        <v>-</v>
      </c>
      <c r="M36" s="29"/>
      <c r="N36" s="29"/>
    </row>
    <row r="37" spans="2:14">
      <c r="B37" s="15"/>
      <c r="C37" s="15"/>
      <c r="D37" s="15"/>
      <c r="E37" s="15"/>
      <c r="F37" s="20" t="str">
        <f ca="1" t="shared" si="1"/>
        <v/>
      </c>
      <c r="G37" s="15"/>
      <c r="H37" s="15"/>
      <c r="I37" s="22" t="str">
        <f ca="1" t="shared" si="4"/>
        <v>-</v>
      </c>
      <c r="J37" s="15"/>
      <c r="K37" s="24" t="str">
        <f t="shared" si="5"/>
        <v>-</v>
      </c>
      <c r="L37" s="24" t="str">
        <f ca="1" t="shared" si="6"/>
        <v>-</v>
      </c>
      <c r="M37" s="29"/>
      <c r="N37" s="29"/>
    </row>
    <row r="38" spans="2:14">
      <c r="B38" s="15"/>
      <c r="C38" s="15"/>
      <c r="D38" s="15"/>
      <c r="E38" s="15"/>
      <c r="F38" s="20" t="str">
        <f ca="1" t="shared" si="1"/>
        <v/>
      </c>
      <c r="G38" s="15"/>
      <c r="H38" s="15"/>
      <c r="I38" s="22" t="str">
        <f ca="1" t="shared" si="4"/>
        <v>-</v>
      </c>
      <c r="J38" s="15"/>
      <c r="K38" s="24" t="str">
        <f t="shared" si="5"/>
        <v>-</v>
      </c>
      <c r="L38" s="24" t="str">
        <f ca="1" t="shared" si="6"/>
        <v>-</v>
      </c>
      <c r="M38" s="29"/>
      <c r="N38" s="29"/>
    </row>
    <row r="39" spans="2:14">
      <c r="B39" s="15"/>
      <c r="C39" s="15"/>
      <c r="D39" s="15"/>
      <c r="E39" s="15"/>
      <c r="F39" s="20" t="str">
        <f ca="1" t="shared" si="1"/>
        <v/>
      </c>
      <c r="G39" s="15"/>
      <c r="H39" s="15"/>
      <c r="I39" s="22" t="str">
        <f ca="1" t="shared" si="4"/>
        <v>-</v>
      </c>
      <c r="J39" s="15"/>
      <c r="K39" s="24" t="str">
        <f t="shared" si="5"/>
        <v>-</v>
      </c>
      <c r="L39" s="24" t="str">
        <f ca="1" t="shared" si="6"/>
        <v>-</v>
      </c>
      <c r="M39" s="29"/>
      <c r="N39" s="29"/>
    </row>
    <row r="40" spans="2:14">
      <c r="B40" s="15"/>
      <c r="C40" s="15"/>
      <c r="D40" s="15"/>
      <c r="E40" s="15"/>
      <c r="F40" s="20" t="str">
        <f ca="1" t="shared" si="1"/>
        <v/>
      </c>
      <c r="G40" s="15"/>
      <c r="H40" s="15"/>
      <c r="I40" s="22" t="str">
        <f ca="1" t="shared" si="4"/>
        <v>-</v>
      </c>
      <c r="J40" s="15"/>
      <c r="K40" s="24" t="str">
        <f t="shared" si="5"/>
        <v>-</v>
      </c>
      <c r="L40" s="24" t="str">
        <f ca="1" t="shared" si="6"/>
        <v>-</v>
      </c>
      <c r="M40" s="29"/>
      <c r="N40" s="29"/>
    </row>
    <row r="41" spans="2:14">
      <c r="B41" s="15"/>
      <c r="C41" s="15"/>
      <c r="D41" s="15"/>
      <c r="E41" s="15"/>
      <c r="F41" s="20" t="str">
        <f ca="1" t="shared" si="1"/>
        <v/>
      </c>
      <c r="G41" s="15"/>
      <c r="H41" s="15"/>
      <c r="I41" s="22" t="str">
        <f ca="1" t="shared" si="4"/>
        <v>-</v>
      </c>
      <c r="J41" s="15"/>
      <c r="K41" s="24" t="str">
        <f t="shared" si="5"/>
        <v>-</v>
      </c>
      <c r="L41" s="24" t="str">
        <f ca="1" t="shared" si="6"/>
        <v>-</v>
      </c>
      <c r="M41" s="29"/>
      <c r="N41" s="29"/>
    </row>
  </sheetData>
  <mergeCells count="8">
    <mergeCell ref="C2:N2"/>
    <mergeCell ref="E4:F4"/>
    <mergeCell ref="H4:I4"/>
    <mergeCell ref="K4:L4"/>
    <mergeCell ref="B9:F9"/>
    <mergeCell ref="G9:I9"/>
    <mergeCell ref="J9:M9"/>
    <mergeCell ref="N9:N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taotao</dc:creator>
  <cp:lastModifiedBy>ZingLing</cp:lastModifiedBy>
  <dcterms:created xsi:type="dcterms:W3CDTF">2018-12-13T13:21:00Z</dcterms:created>
  <dcterms:modified xsi:type="dcterms:W3CDTF">2023-02-01T14:26:14Z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KSORubyTemplateID" linkTarget="0">
    <vt:lpwstr>20</vt:lpwstr>
  </property>
  <property fmtid="{D5CDD505-2E9C-101B-9397-08002B2CF9AE}" pid="4" name="KSOTemplateUUID">
    <vt:lpwstr>v1.0_mb_tms+9pg5JSFiaj7QUY3ZyQ==</vt:lpwstr>
  </property>
  <property fmtid="{D5CDD505-2E9C-101B-9397-08002B2CF9AE}" pid="5" name="ICV">
    <vt:lpwstr>F9291D5F4A04B92A0606DA632FA2E7B8</vt:lpwstr>
  </property>
</Properties>
</file>