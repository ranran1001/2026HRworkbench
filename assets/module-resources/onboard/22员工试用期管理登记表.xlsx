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试用期管理登记表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<sst xmlns="http://schemas.openxmlformats.org/spreadsheetml/2006/main" count="137" uniqueCount="71">
  <si>
    <t>员工试用期管理登记表</t>
  </si>
  <si>
    <r>
      <t>说明：
1、合同签订时间：必须在员工入职</t>
    </r>
    <r>
      <rPr>
        <u/>
        <sz val="9"/>
        <color rgb="FFFF0000"/>
        <rFont val="华文细黑"/>
        <charset val="134"/>
      </rPr>
      <t>1个月</t>
    </r>
    <r>
      <rPr>
        <sz val="9"/>
        <color theme="1"/>
        <rFont val="华文细黑"/>
        <charset val="134"/>
      </rPr>
      <t>内签订劳动合同。
2、试用期转正：除特殊情况，须在应转正日期到期前10-15天内参与转正述职。</t>
    </r>
  </si>
  <si>
    <t>输入查询：日期</t>
  </si>
  <si>
    <r>
      <t>日期</t>
    </r>
    <r>
      <rPr>
        <b/>
        <sz val="8"/>
        <color theme="0"/>
        <rFont val="华文细黑"/>
        <charset val="134"/>
      </rPr>
      <t>（起）</t>
    </r>
  </si>
  <si>
    <t>入职总人数</t>
  </si>
  <si>
    <t>转正人数</t>
  </si>
  <si>
    <t>离职人数</t>
  </si>
  <si>
    <t>仍在试用期人数</t>
  </si>
  <si>
    <r>
      <t>日期</t>
    </r>
    <r>
      <rPr>
        <b/>
        <sz val="8"/>
        <color theme="0"/>
        <rFont val="华文细黑"/>
        <charset val="134"/>
      </rPr>
      <t>（止）</t>
    </r>
  </si>
  <si>
    <t>序号</t>
  </si>
  <si>
    <t>员工姓名</t>
  </si>
  <si>
    <t>工号</t>
  </si>
  <si>
    <t>任职部门</t>
  </si>
  <si>
    <t>担任职务</t>
  </si>
  <si>
    <t>入职日期</t>
  </si>
  <si>
    <r>
      <t>劳动合同期限</t>
    </r>
    <r>
      <rPr>
        <b/>
        <sz val="8"/>
        <color theme="0"/>
        <rFont val="华文细黑"/>
        <charset val="134"/>
      </rPr>
      <t>/年</t>
    </r>
  </si>
  <si>
    <t>签订标识</t>
  </si>
  <si>
    <r>
      <t>试用期期限</t>
    </r>
    <r>
      <rPr>
        <b/>
        <sz val="8"/>
        <color theme="0"/>
        <rFont val="华文细黑"/>
        <charset val="134"/>
      </rPr>
      <t>/月</t>
    </r>
  </si>
  <si>
    <t>应转正日期</t>
  </si>
  <si>
    <t>还有天数</t>
  </si>
  <si>
    <t>转正标识</t>
  </si>
  <si>
    <t>实转正日期</t>
  </si>
  <si>
    <t>备注</t>
  </si>
  <si>
    <t>丁小安</t>
  </si>
  <si>
    <t>TL00234</t>
  </si>
  <si>
    <t>销售部</t>
  </si>
  <si>
    <t>销售顾问</t>
  </si>
  <si>
    <t>是</t>
  </si>
  <si>
    <t>丁小钟</t>
  </si>
  <si>
    <t>TL00235</t>
  </si>
  <si>
    <t>丁小志</t>
  </si>
  <si>
    <t>TL00236</t>
  </si>
  <si>
    <t>丁小泽</t>
  </si>
  <si>
    <t>TL00237</t>
  </si>
  <si>
    <t>否</t>
  </si>
  <si>
    <t>离职：2020/12/21</t>
  </si>
  <si>
    <t>丁小周</t>
  </si>
  <si>
    <t>TL00238</t>
  </si>
  <si>
    <t>离职：2021/2/23</t>
  </si>
  <si>
    <t>丁小镇</t>
  </si>
  <si>
    <t>TL00239</t>
  </si>
  <si>
    <t>丁小庄</t>
  </si>
  <si>
    <t>TL00240</t>
  </si>
  <si>
    <t>丁小关</t>
  </si>
  <si>
    <t>TL00241</t>
  </si>
  <si>
    <t>丁小果</t>
  </si>
  <si>
    <t>TL00242</t>
  </si>
  <si>
    <t>丁小刚</t>
  </si>
  <si>
    <t>TL00243</t>
  </si>
  <si>
    <t>丁小芹</t>
  </si>
  <si>
    <t>TL00244</t>
  </si>
  <si>
    <t>丁小琴</t>
  </si>
  <si>
    <t>TL00245</t>
  </si>
  <si>
    <t>丁小工</t>
  </si>
  <si>
    <t>TL00246</t>
  </si>
  <si>
    <t>丁小蓝</t>
  </si>
  <si>
    <t>TL00247</t>
  </si>
  <si>
    <t>丁小璐</t>
  </si>
  <si>
    <t>TL00248</t>
  </si>
  <si>
    <t>丁小丽</t>
  </si>
  <si>
    <t>TL00249</t>
  </si>
  <si>
    <t>丁小刘</t>
  </si>
  <si>
    <t>TL00250</t>
  </si>
  <si>
    <t>丁小泰</t>
  </si>
  <si>
    <t>TL00251</t>
  </si>
  <si>
    <t>丁小涛</t>
  </si>
  <si>
    <t>TL00252</t>
  </si>
  <si>
    <t>丁小桃</t>
  </si>
  <si>
    <t>TL00253</t>
  </si>
  <si>
    <t>丁小平</t>
  </si>
  <si>
    <t>TL00254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</si>
</sst>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1">
    <font>
      <sz val="11"/>
      <color theme="1"/>
      <name val="宋体"/>
      <charset val="134"/>
      <scheme val="minor"/>
    </font>
    <font>
      <b/>
      <sz val="10"/>
      <color theme="1"/>
      <name val="华文细黑"/>
      <charset val="134"/>
    </font>
    <font>
      <sz val="10"/>
      <color theme="1"/>
      <name val="华文细黑"/>
      <charset val="134"/>
    </font>
    <font>
      <b/>
      <sz val="24"/>
      <color theme="1"/>
      <name val="华文细黑"/>
      <charset val="134"/>
    </font>
    <font>
      <sz val="9"/>
      <color theme="1"/>
      <name val="华文细黑"/>
      <charset val="134"/>
    </font>
    <font>
      <b/>
      <sz val="10"/>
      <color theme="0"/>
      <name val="华文细黑"/>
      <charset val="134"/>
    </font>
    <font>
      <b/>
      <u/>
      <sz val="10"/>
      <color rgb="FFC00000"/>
      <name val="华文细黑"/>
      <charset val="134"/>
    </font>
    <font>
      <u/>
      <sz val="10"/>
      <color theme="1"/>
      <name val="华文细黑"/>
      <charset val="134"/>
    </font>
    <font>
      <u/>
      <sz val="10"/>
      <color rgb="FFFF0000"/>
      <name val="华文细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9"/>
      <color rgb="FFFF0000"/>
      <name val="华文细黑"/>
      <charset val="134"/>
    </font>
    <font>
      <b/>
      <sz val="8"/>
      <color theme="0"/>
      <name val="华文细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24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auto="1"/>
      </left>
      <right style="thin">
        <color theme="0"/>
      </right>
      <top style="medium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0" fillId="8" borderId="19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27" borderId="23" applyNumberFormat="0" applyFon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5" fillId="26" borderId="22" applyNumberFormat="0" applyAlignment="0" applyProtection="0">
      <alignment vertical="center"/>
    </xf>
    <xf numFmtId="0" fontId="28" fillId="26" borderId="19" applyNumberFormat="0" applyAlignment="0" applyProtection="0">
      <alignment vertical="center"/>
    </xf>
    <xf numFmtId="0" fontId="22" fillId="9" borderId="21" applyNumberFormat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76" fontId="5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5" fillId="2" borderId="9" xfId="0" applyNumberFormat="1" applyFont="1" applyFill="1" applyBorder="1" applyAlignment="1">
      <alignment horizontal="center" vertical="center"/>
    </xf>
    <xf numFmtId="176" fontId="5" fillId="2" borderId="10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0" fontId="6" fillId="3" borderId="11" xfId="0" applyNumberFormat="1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3">
    <dxf>
      <fill>
        <patternFill patternType="solid">
          <bgColor theme="0" tint="-0.05"/>
        </patternFill>
      </fill>
    </dxf>
    <dxf>
      <font>
        <b val="1"/>
        <i val="0"/>
        <color rgb="FFFF0000"/>
      </font>
      <fill>
        <patternFill patternType="solid">
          <bgColor theme="5" tint="0.8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O26"/>
  <sheetViews>
    <sheetView showGridLines="0" tabSelected="1" zoomScale="80" zoomScaleNormal="80" workbookViewId="0">
      <selection activeCell="A1" sqref="A1"/>
    </sheetView>
  </sheetViews>
  <sheetFormatPr defaultColWidth="9" defaultRowHeight="14.5"/>
  <cols>
    <col min="1" max="1" width="10.6363636363636" style="2" customWidth="1"/>
    <col min="2" max="2" width="5.63636363636364" style="2" customWidth="1"/>
    <col min="3" max="6" width="10.6363636363636" style="2" customWidth="1"/>
    <col min="7" max="7" width="15.6363636363636" style="3" customWidth="1"/>
    <col min="8" max="8" width="15.6363636363636" style="2" customWidth="1"/>
    <col min="9" max="9" width="10.6363636363636" style="2" customWidth="1"/>
    <col min="10" max="10" width="15.6363636363636" style="2" customWidth="1"/>
    <col min="11" max="11" width="15.6363636363636" style="3" customWidth="1"/>
    <col min="12" max="13" width="10.6363636363636" style="2" customWidth="1"/>
    <col min="14" max="14" width="15.6363636363636" style="3" customWidth="1"/>
    <col min="15" max="15" width="18.6363636363636" style="4" customWidth="1"/>
    <col min="16" max="22" width="10.6363636363636" style="2" customWidth="1"/>
    <col min="23" max="16384" width="9" style="2"/>
  </cols>
  <sheetData>
    <row r="1" s="1" customFormat="1" ht="50" customHeight="1" spans="2:15">
      <c r="B1" s="5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ht="20" customHeight="1" spans="2:14">
      <c r="B2" s="7" t="s">
        <v>1</v>
      </c>
      <c r="C2" s="8"/>
      <c r="D2" s="8"/>
      <c r="E2" s="8"/>
      <c r="F2" s="8"/>
      <c r="G2" s="8"/>
      <c r="H2" s="9" t="s">
        <v>2</v>
      </c>
      <c r="I2" s="20" t="s">
        <v>3</v>
      </c>
      <c r="J2" s="21">
        <v>43831</v>
      </c>
      <c r="K2" s="22" t="s">
        <v>4</v>
      </c>
      <c r="L2" s="20" t="s">
        <v>5</v>
      </c>
      <c r="M2" s="20" t="s">
        <v>6</v>
      </c>
      <c r="N2" s="23" t="s">
        <v>7</v>
      </c>
    </row>
    <row r="3" ht="20" customHeight="1" spans="2:14">
      <c r="B3" s="8"/>
      <c r="C3" s="8"/>
      <c r="D3" s="8"/>
      <c r="E3" s="8"/>
      <c r="F3" s="8"/>
      <c r="G3" s="8"/>
      <c r="H3" s="10"/>
      <c r="I3" s="24" t="s">
        <v>8</v>
      </c>
      <c r="J3" s="25">
        <v>44196</v>
      </c>
      <c r="K3" s="26">
        <f>COUNTIFS(G6:G26,"&gt;="&amp;J2,G6:G26,"&lt;="&amp;J3)</f>
        <v>9</v>
      </c>
      <c r="L3" s="27">
        <f>COUNTIFS(G6:G26,"&gt;="&amp;J2,G6:G26,"&lt;="&amp;J3,M6:M26,"是")</f>
        <v>5</v>
      </c>
      <c r="M3" s="28">
        <f>COUNTIFS(G6:G26,"&gt;="&amp;J2,G6:G26,"&lt;="&amp;J3,M6:M26,"否")</f>
        <v>2</v>
      </c>
      <c r="N3" s="29">
        <f>COUNTIFS(G6:G26,"&gt;="&amp;J2,G6:G26,"&lt;="&amp;J3,M6:M26,"")</f>
        <v>2</v>
      </c>
    </row>
    <row r="4" ht="10" customHeight="1"/>
    <row r="5" s="1" customFormat="1" ht="30" customHeight="1" spans="2:15">
      <c r="B5" s="11" t="s">
        <v>9</v>
      </c>
      <c r="C5" s="12" t="s">
        <v>10</v>
      </c>
      <c r="D5" s="12" t="s">
        <v>11</v>
      </c>
      <c r="E5" s="12" t="s">
        <v>12</v>
      </c>
      <c r="F5" s="12" t="s">
        <v>13</v>
      </c>
      <c r="G5" s="13" t="s">
        <v>14</v>
      </c>
      <c r="H5" s="12" t="s">
        <v>15</v>
      </c>
      <c r="I5" s="12" t="s">
        <v>16</v>
      </c>
      <c r="J5" s="12" t="s">
        <v>17</v>
      </c>
      <c r="K5" s="13" t="s">
        <v>18</v>
      </c>
      <c r="L5" s="12" t="s">
        <v>19</v>
      </c>
      <c r="M5" s="12" t="s">
        <v>20</v>
      </c>
      <c r="N5" s="13" t="s">
        <v>21</v>
      </c>
      <c r="O5" s="30" t="s">
        <v>22</v>
      </c>
    </row>
    <row r="6" ht="20" customHeight="1" spans="2:15">
      <c r="B6" s="14">
        <v>1</v>
      </c>
      <c r="C6" s="15" t="s">
        <v>23</v>
      </c>
      <c r="D6" s="15" t="s">
        <v>24</v>
      </c>
      <c r="E6" s="15" t="s">
        <v>25</v>
      </c>
      <c r="F6" s="15" t="s">
        <v>26</v>
      </c>
      <c r="G6" s="16">
        <v>43852</v>
      </c>
      <c r="H6" s="15">
        <v>3</v>
      </c>
      <c r="I6" s="15" t="s">
        <v>27</v>
      </c>
      <c r="J6" s="15">
        <v>3</v>
      </c>
      <c r="K6" s="16">
        <f>DATE(YEAR(G6),MONTH(G6)+J6,DAY(G6)-1)</f>
        <v>43942</v>
      </c>
      <c r="L6" s="15" t="str">
        <f ca="1">IF(DATEDIF(TODAY(),K6,"D")&gt;0,DATEDIF(TODAY(),K6,"D"),"已过期限")</f>
        <v>已过期限</v>
      </c>
      <c r="M6" s="15" t="s">
        <v>27</v>
      </c>
      <c r="N6" s="16">
        <v>43936</v>
      </c>
      <c r="O6" s="31"/>
    </row>
    <row r="7" s="2" customFormat="1" ht="20" customHeight="1" spans="2:15">
      <c r="B7" s="14">
        <v>2</v>
      </c>
      <c r="C7" s="15" t="s">
        <v>28</v>
      </c>
      <c r="D7" s="15" t="s">
        <v>29</v>
      </c>
      <c r="E7" s="15" t="s">
        <v>25</v>
      </c>
      <c r="F7" s="15" t="s">
        <v>26</v>
      </c>
      <c r="G7" s="16">
        <v>43943</v>
      </c>
      <c r="H7" s="15">
        <v>3</v>
      </c>
      <c r="I7" s="15" t="s">
        <v>27</v>
      </c>
      <c r="J7" s="15">
        <v>3</v>
      </c>
      <c r="K7" s="16">
        <f t="shared" ref="K7:K26" si="0">DATE(YEAR(G7),MONTH(G7)+J7,DAY(G7)-1)</f>
        <v>44033</v>
      </c>
      <c r="L7" s="15" t="str">
        <f ca="1" t="shared" ref="L7:L26" si="1">IF(DATEDIF(TODAY(),K7,"D")&gt;0,DATEDIF(TODAY(),K7,"D"),"已过期限")</f>
        <v>已过期限</v>
      </c>
      <c r="M7" s="15" t="s">
        <v>27</v>
      </c>
      <c r="N7" s="16">
        <v>44027</v>
      </c>
      <c r="O7" s="31"/>
    </row>
    <row r="8" s="2" customFormat="1" ht="20" customHeight="1" spans="2:15">
      <c r="B8" s="14">
        <v>3</v>
      </c>
      <c r="C8" s="15" t="s">
        <v>30</v>
      </c>
      <c r="D8" s="15" t="s">
        <v>31</v>
      </c>
      <c r="E8" s="15" t="s">
        <v>25</v>
      </c>
      <c r="F8" s="15" t="s">
        <v>26</v>
      </c>
      <c r="G8" s="16">
        <v>43973</v>
      </c>
      <c r="H8" s="15">
        <v>3</v>
      </c>
      <c r="I8" s="15" t="s">
        <v>27</v>
      </c>
      <c r="J8" s="15">
        <v>3</v>
      </c>
      <c r="K8" s="16">
        <f t="shared" si="0"/>
        <v>44064</v>
      </c>
      <c r="L8" s="15" t="str">
        <f ca="1" t="shared" si="1"/>
        <v>已过期限</v>
      </c>
      <c r="M8" s="15" t="s">
        <v>27</v>
      </c>
      <c r="N8" s="16">
        <v>44058</v>
      </c>
      <c r="O8" s="31"/>
    </row>
    <row r="9" s="2" customFormat="1" ht="20" customHeight="1" spans="2:15">
      <c r="B9" s="14">
        <v>4</v>
      </c>
      <c r="C9" s="15" t="s">
        <v>32</v>
      </c>
      <c r="D9" s="15" t="s">
        <v>33</v>
      </c>
      <c r="E9" s="15" t="s">
        <v>25</v>
      </c>
      <c r="F9" s="15" t="s">
        <v>26</v>
      </c>
      <c r="G9" s="16">
        <v>44096</v>
      </c>
      <c r="H9" s="15">
        <v>3</v>
      </c>
      <c r="I9" s="15" t="s">
        <v>27</v>
      </c>
      <c r="J9" s="15">
        <v>3</v>
      </c>
      <c r="K9" s="16">
        <f t="shared" si="0"/>
        <v>44186</v>
      </c>
      <c r="L9" s="15" t="str">
        <f ca="1" t="shared" si="1"/>
        <v>已过期限</v>
      </c>
      <c r="M9" s="15" t="s">
        <v>34</v>
      </c>
      <c r="N9" s="16"/>
      <c r="O9" s="31" t="s">
        <v>35</v>
      </c>
    </row>
    <row r="10" s="2" customFormat="1" ht="20" customHeight="1" spans="2:15">
      <c r="B10" s="14">
        <v>5</v>
      </c>
      <c r="C10" s="15" t="s">
        <v>36</v>
      </c>
      <c r="D10" s="15" t="s">
        <v>37</v>
      </c>
      <c r="E10" s="15" t="s">
        <v>25</v>
      </c>
      <c r="F10" s="15" t="s">
        <v>26</v>
      </c>
      <c r="G10" s="16">
        <v>44177</v>
      </c>
      <c r="H10" s="15">
        <v>3</v>
      </c>
      <c r="I10" s="15" t="s">
        <v>27</v>
      </c>
      <c r="J10" s="15">
        <v>3</v>
      </c>
      <c r="K10" s="16">
        <f t="shared" si="0"/>
        <v>44266</v>
      </c>
      <c r="L10" s="15">
        <f ca="1" t="shared" si="1"/>
        <v>16</v>
      </c>
      <c r="M10" s="15" t="s">
        <v>34</v>
      </c>
      <c r="N10" s="16"/>
      <c r="O10" s="31" t="s">
        <v>38</v>
      </c>
    </row>
    <row r="11" s="2" customFormat="1" ht="20" customHeight="1" spans="2:15">
      <c r="B11" s="14">
        <v>6</v>
      </c>
      <c r="C11" s="15" t="s">
        <v>39</v>
      </c>
      <c r="D11" s="15" t="s">
        <v>40</v>
      </c>
      <c r="E11" s="15" t="s">
        <v>25</v>
      </c>
      <c r="F11" s="15" t="s">
        <v>26</v>
      </c>
      <c r="G11" s="16">
        <v>44178</v>
      </c>
      <c r="H11" s="15">
        <v>3</v>
      </c>
      <c r="I11" s="15" t="s">
        <v>27</v>
      </c>
      <c r="J11" s="15">
        <v>3</v>
      </c>
      <c r="K11" s="16">
        <f t="shared" si="0"/>
        <v>44267</v>
      </c>
      <c r="L11" s="15">
        <f ca="1" t="shared" si="1"/>
        <v>17</v>
      </c>
      <c r="M11" s="15" t="s">
        <v>27</v>
      </c>
      <c r="N11" s="16">
        <v>44247</v>
      </c>
      <c r="O11" s="31"/>
    </row>
    <row r="12" s="2" customFormat="1" ht="20" customHeight="1" spans="2:15">
      <c r="B12" s="14">
        <v>7</v>
      </c>
      <c r="C12" s="15" t="s">
        <v>41</v>
      </c>
      <c r="D12" s="15" t="s">
        <v>42</v>
      </c>
      <c r="E12" s="15" t="s">
        <v>25</v>
      </c>
      <c r="F12" s="15" t="s">
        <v>26</v>
      </c>
      <c r="G12" s="16">
        <v>44180</v>
      </c>
      <c r="H12" s="15">
        <v>3</v>
      </c>
      <c r="I12" s="15" t="s">
        <v>27</v>
      </c>
      <c r="J12" s="15">
        <v>3</v>
      </c>
      <c r="K12" s="16">
        <f t="shared" si="0"/>
        <v>44269</v>
      </c>
      <c r="L12" s="15">
        <f ca="1" t="shared" si="1"/>
        <v>19</v>
      </c>
      <c r="M12" s="15" t="s">
        <v>27</v>
      </c>
      <c r="N12" s="16">
        <v>44247</v>
      </c>
      <c r="O12" s="31"/>
    </row>
    <row r="13" s="2" customFormat="1" ht="20" customHeight="1" spans="2:15">
      <c r="B13" s="14">
        <v>8</v>
      </c>
      <c r="C13" s="15" t="s">
        <v>43</v>
      </c>
      <c r="D13" s="15" t="s">
        <v>44</v>
      </c>
      <c r="E13" s="15" t="s">
        <v>25</v>
      </c>
      <c r="F13" s="15" t="s">
        <v>26</v>
      </c>
      <c r="G13" s="16">
        <v>44188</v>
      </c>
      <c r="H13" s="15">
        <v>3</v>
      </c>
      <c r="I13" s="15" t="s">
        <v>27</v>
      </c>
      <c r="J13" s="15">
        <v>3</v>
      </c>
      <c r="K13" s="16">
        <f t="shared" si="0"/>
        <v>44277</v>
      </c>
      <c r="L13" s="15">
        <f ca="1" t="shared" si="1"/>
        <v>27</v>
      </c>
      <c r="M13" s="15"/>
      <c r="N13" s="16"/>
      <c r="O13" s="31"/>
    </row>
    <row r="14" s="2" customFormat="1" ht="20" customHeight="1" spans="2:15">
      <c r="B14" s="14">
        <v>9</v>
      </c>
      <c r="C14" s="15" t="s">
        <v>45</v>
      </c>
      <c r="D14" s="15" t="s">
        <v>46</v>
      </c>
      <c r="E14" s="15" t="s">
        <v>25</v>
      </c>
      <c r="F14" s="15" t="s">
        <v>26</v>
      </c>
      <c r="G14" s="16">
        <v>44188</v>
      </c>
      <c r="H14" s="15">
        <v>3</v>
      </c>
      <c r="I14" s="15" t="s">
        <v>27</v>
      </c>
      <c r="J14" s="15">
        <v>3</v>
      </c>
      <c r="K14" s="16">
        <f t="shared" si="0"/>
        <v>44277</v>
      </c>
      <c r="L14" s="15">
        <f ca="1" t="shared" si="1"/>
        <v>27</v>
      </c>
      <c r="M14" s="15"/>
      <c r="N14" s="16"/>
      <c r="O14" s="31"/>
    </row>
    <row r="15" s="2" customFormat="1" ht="20" customHeight="1" spans="2:15">
      <c r="B15" s="14">
        <v>10</v>
      </c>
      <c r="C15" s="15" t="s">
        <v>47</v>
      </c>
      <c r="D15" s="15" t="s">
        <v>48</v>
      </c>
      <c r="E15" s="15" t="s">
        <v>25</v>
      </c>
      <c r="F15" s="15" t="s">
        <v>26</v>
      </c>
      <c r="G15" s="16">
        <v>44209</v>
      </c>
      <c r="H15" s="15">
        <v>3</v>
      </c>
      <c r="I15" s="15" t="s">
        <v>27</v>
      </c>
      <c r="J15" s="15">
        <v>3</v>
      </c>
      <c r="K15" s="16">
        <f t="shared" si="0"/>
        <v>44298</v>
      </c>
      <c r="L15" s="15">
        <f ca="1" t="shared" si="1"/>
        <v>48</v>
      </c>
      <c r="M15" s="15"/>
      <c r="N15" s="16"/>
      <c r="O15" s="31"/>
    </row>
    <row r="16" s="2" customFormat="1" ht="20" customHeight="1" spans="2:15">
      <c r="B16" s="14">
        <v>11</v>
      </c>
      <c r="C16" s="15" t="s">
        <v>49</v>
      </c>
      <c r="D16" s="15" t="s">
        <v>50</v>
      </c>
      <c r="E16" s="15" t="s">
        <v>25</v>
      </c>
      <c r="F16" s="15" t="s">
        <v>26</v>
      </c>
      <c r="G16" s="16">
        <v>44209</v>
      </c>
      <c r="H16" s="15">
        <v>3</v>
      </c>
      <c r="I16" s="15" t="s">
        <v>27</v>
      </c>
      <c r="J16" s="15">
        <v>3</v>
      </c>
      <c r="K16" s="16">
        <f t="shared" si="0"/>
        <v>44298</v>
      </c>
      <c r="L16" s="15">
        <f ca="1" t="shared" si="1"/>
        <v>48</v>
      </c>
      <c r="M16" s="15"/>
      <c r="N16" s="16"/>
      <c r="O16" s="31"/>
    </row>
    <row r="17" s="2" customFormat="1" ht="20" customHeight="1" spans="2:15">
      <c r="B17" s="14">
        <v>12</v>
      </c>
      <c r="C17" s="15" t="s">
        <v>51</v>
      </c>
      <c r="D17" s="15" t="s">
        <v>52</v>
      </c>
      <c r="E17" s="15" t="s">
        <v>25</v>
      </c>
      <c r="F17" s="15" t="s">
        <v>26</v>
      </c>
      <c r="G17" s="16">
        <v>44209</v>
      </c>
      <c r="H17" s="15">
        <v>3</v>
      </c>
      <c r="I17" s="15" t="s">
        <v>27</v>
      </c>
      <c r="J17" s="15">
        <v>3</v>
      </c>
      <c r="K17" s="16">
        <f t="shared" si="0"/>
        <v>44298</v>
      </c>
      <c r="L17" s="15">
        <f ca="1" t="shared" si="1"/>
        <v>48</v>
      </c>
      <c r="M17" s="15"/>
      <c r="N17" s="16"/>
      <c r="O17" s="31"/>
    </row>
    <row r="18" s="2" customFormat="1" ht="20" customHeight="1" spans="2:15">
      <c r="B18" s="14">
        <v>13</v>
      </c>
      <c r="C18" s="15" t="s">
        <v>53</v>
      </c>
      <c r="D18" s="15" t="s">
        <v>54</v>
      </c>
      <c r="E18" s="15" t="s">
        <v>25</v>
      </c>
      <c r="F18" s="15" t="s">
        <v>26</v>
      </c>
      <c r="G18" s="16">
        <v>44209</v>
      </c>
      <c r="H18" s="15">
        <v>3</v>
      </c>
      <c r="I18" s="15" t="s">
        <v>27</v>
      </c>
      <c r="J18" s="15">
        <v>3</v>
      </c>
      <c r="K18" s="16">
        <f t="shared" si="0"/>
        <v>44298</v>
      </c>
      <c r="L18" s="15">
        <f ca="1" t="shared" si="1"/>
        <v>48</v>
      </c>
      <c r="M18" s="15"/>
      <c r="N18" s="16"/>
      <c r="O18" s="31"/>
    </row>
    <row r="19" s="2" customFormat="1" ht="20" customHeight="1" spans="2:15">
      <c r="B19" s="14">
        <v>14</v>
      </c>
      <c r="C19" s="15" t="s">
        <v>55</v>
      </c>
      <c r="D19" s="15" t="s">
        <v>56</v>
      </c>
      <c r="E19" s="15" t="s">
        <v>25</v>
      </c>
      <c r="F19" s="15" t="s">
        <v>26</v>
      </c>
      <c r="G19" s="16">
        <v>44209</v>
      </c>
      <c r="H19" s="15">
        <v>3</v>
      </c>
      <c r="I19" s="15" t="s">
        <v>27</v>
      </c>
      <c r="J19" s="15">
        <v>3</v>
      </c>
      <c r="K19" s="16">
        <f t="shared" si="0"/>
        <v>44298</v>
      </c>
      <c r="L19" s="15">
        <f ca="1" t="shared" si="1"/>
        <v>48</v>
      </c>
      <c r="M19" s="15"/>
      <c r="N19" s="16"/>
      <c r="O19" s="31"/>
    </row>
    <row r="20" s="2" customFormat="1" ht="20" customHeight="1" spans="2:15">
      <c r="B20" s="14">
        <v>15</v>
      </c>
      <c r="C20" s="15" t="s">
        <v>57</v>
      </c>
      <c r="D20" s="15" t="s">
        <v>58</v>
      </c>
      <c r="E20" s="15" t="s">
        <v>25</v>
      </c>
      <c r="F20" s="15" t="s">
        <v>26</v>
      </c>
      <c r="G20" s="16">
        <v>44222</v>
      </c>
      <c r="H20" s="15">
        <v>3</v>
      </c>
      <c r="I20" s="15" t="s">
        <v>27</v>
      </c>
      <c r="J20" s="15">
        <v>3</v>
      </c>
      <c r="K20" s="16">
        <f t="shared" si="0"/>
        <v>44311</v>
      </c>
      <c r="L20" s="15">
        <f ca="1" t="shared" si="1"/>
        <v>61</v>
      </c>
      <c r="M20" s="15"/>
      <c r="N20" s="16"/>
      <c r="O20" s="31"/>
    </row>
    <row r="21" s="2" customFormat="1" ht="20" customHeight="1" spans="2:15">
      <c r="B21" s="14">
        <v>16</v>
      </c>
      <c r="C21" s="15" t="s">
        <v>59</v>
      </c>
      <c r="D21" s="15" t="s">
        <v>60</v>
      </c>
      <c r="E21" s="15" t="s">
        <v>25</v>
      </c>
      <c r="F21" s="15" t="s">
        <v>26</v>
      </c>
      <c r="G21" s="16">
        <v>44229</v>
      </c>
      <c r="H21" s="15">
        <v>3</v>
      </c>
      <c r="I21" s="15" t="s">
        <v>27</v>
      </c>
      <c r="J21" s="15">
        <v>3</v>
      </c>
      <c r="K21" s="16">
        <f t="shared" si="0"/>
        <v>44317</v>
      </c>
      <c r="L21" s="15">
        <f ca="1" t="shared" si="1"/>
        <v>67</v>
      </c>
      <c r="M21" s="15"/>
      <c r="N21" s="16"/>
      <c r="O21" s="31"/>
    </row>
    <row r="22" s="2" customFormat="1" ht="20" customHeight="1" spans="2:15">
      <c r="B22" s="14">
        <v>17</v>
      </c>
      <c r="C22" s="15" t="s">
        <v>61</v>
      </c>
      <c r="D22" s="15" t="s">
        <v>62</v>
      </c>
      <c r="E22" s="15" t="s">
        <v>25</v>
      </c>
      <c r="F22" s="15" t="s">
        <v>26</v>
      </c>
      <c r="G22" s="16">
        <v>44247</v>
      </c>
      <c r="H22" s="15">
        <v>3</v>
      </c>
      <c r="I22" s="15" t="s">
        <v>27</v>
      </c>
      <c r="J22" s="15">
        <v>3</v>
      </c>
      <c r="K22" s="16">
        <f t="shared" si="0"/>
        <v>44335</v>
      </c>
      <c r="L22" s="15">
        <f ca="1" t="shared" si="1"/>
        <v>85</v>
      </c>
      <c r="M22" s="15"/>
      <c r="N22" s="16"/>
      <c r="O22" s="31"/>
    </row>
    <row r="23" s="2" customFormat="1" ht="20" customHeight="1" spans="2:15">
      <c r="B23" s="14">
        <v>18</v>
      </c>
      <c r="C23" s="15" t="s">
        <v>63</v>
      </c>
      <c r="D23" s="15" t="s">
        <v>64</v>
      </c>
      <c r="E23" s="15" t="s">
        <v>25</v>
      </c>
      <c r="F23" s="15" t="s">
        <v>26</v>
      </c>
      <c r="G23" s="16">
        <v>44248</v>
      </c>
      <c r="H23" s="15">
        <v>3</v>
      </c>
      <c r="I23" s="15" t="s">
        <v>27</v>
      </c>
      <c r="J23" s="15">
        <v>3</v>
      </c>
      <c r="K23" s="16">
        <f t="shared" si="0"/>
        <v>44336</v>
      </c>
      <c r="L23" s="15">
        <f ca="1" t="shared" si="1"/>
        <v>86</v>
      </c>
      <c r="M23" s="15"/>
      <c r="N23" s="16"/>
      <c r="O23" s="31"/>
    </row>
    <row r="24" s="2" customFormat="1" ht="20" customHeight="1" spans="2:15">
      <c r="B24" s="14">
        <v>19</v>
      </c>
      <c r="C24" s="15" t="s">
        <v>65</v>
      </c>
      <c r="D24" s="15" t="s">
        <v>66</v>
      </c>
      <c r="E24" s="15" t="s">
        <v>25</v>
      </c>
      <c r="F24" s="15" t="s">
        <v>26</v>
      </c>
      <c r="G24" s="16">
        <v>44250</v>
      </c>
      <c r="H24" s="15">
        <v>3</v>
      </c>
      <c r="I24" s="15" t="s">
        <v>34</v>
      </c>
      <c r="J24" s="15">
        <v>3</v>
      </c>
      <c r="K24" s="16">
        <f t="shared" si="0"/>
        <v>44338</v>
      </c>
      <c r="L24" s="15">
        <f ca="1" t="shared" si="1"/>
        <v>88</v>
      </c>
      <c r="M24" s="15"/>
      <c r="N24" s="16"/>
      <c r="O24" s="31"/>
    </row>
    <row r="25" s="2" customFormat="1" ht="20" customHeight="1" spans="2:15">
      <c r="B25" s="14">
        <v>20</v>
      </c>
      <c r="C25" s="15" t="s">
        <v>67</v>
      </c>
      <c r="D25" s="15" t="s">
        <v>68</v>
      </c>
      <c r="E25" s="15" t="s">
        <v>25</v>
      </c>
      <c r="F25" s="15" t="s">
        <v>26</v>
      </c>
      <c r="G25" s="16">
        <v>44250</v>
      </c>
      <c r="H25" s="15">
        <v>3</v>
      </c>
      <c r="I25" s="15" t="s">
        <v>34</v>
      </c>
      <c r="J25" s="15">
        <v>3</v>
      </c>
      <c r="K25" s="16">
        <f t="shared" si="0"/>
        <v>44338</v>
      </c>
      <c r="L25" s="15">
        <f ca="1" t="shared" si="1"/>
        <v>88</v>
      </c>
      <c r="M25" s="15"/>
      <c r="N25" s="16"/>
      <c r="O25" s="31"/>
    </row>
    <row r="26" s="2" customFormat="1" ht="20" customHeight="1" spans="2:15">
      <c r="B26" s="17">
        <v>21</v>
      </c>
      <c r="C26" s="18" t="s">
        <v>69</v>
      </c>
      <c r="D26" s="18" t="s">
        <v>70</v>
      </c>
      <c r="E26" s="18" t="s">
        <v>25</v>
      </c>
      <c r="F26" s="18" t="s">
        <v>26</v>
      </c>
      <c r="G26" s="19">
        <v>44250</v>
      </c>
      <c r="H26" s="18">
        <v>3</v>
      </c>
      <c r="I26" s="18" t="s">
        <v>34</v>
      </c>
      <c r="J26" s="18">
        <v>3</v>
      </c>
      <c r="K26" s="19">
        <f t="shared" si="0"/>
        <v>44338</v>
      </c>
      <c r="L26" s="18">
        <f ca="1" t="shared" si="1"/>
        <v>88</v>
      </c>
      <c r="M26" s="18"/>
      <c r="N26" s="19"/>
      <c r="O26" s="32"/>
    </row>
  </sheetData>
  <mergeCells count="3">
    <mergeCell ref="B1:O1"/>
    <mergeCell ref="H2:H3"/>
    <mergeCell ref="B2:G3"/>
  </mergeCells>
  <conditionalFormatting sqref="C6:O6">
    <cfRule type="expression" dxfId="0" priority="83">
      <formula>$I6="否"</formula>
    </cfRule>
    <cfRule type="expression" dxfId="0" priority="82">
      <formula>$M6="否"</formula>
    </cfRule>
  </conditionalFormatting>
  <conditionalFormatting sqref="C7:O7">
    <cfRule type="expression" dxfId="0" priority="41">
      <formula>$I7="否"</formula>
    </cfRule>
    <cfRule type="expression" dxfId="0" priority="21">
      <formula>$M7="否"</formula>
    </cfRule>
  </conditionalFormatting>
  <conditionalFormatting sqref="I7">
    <cfRule type="cellIs" dxfId="1" priority="81" operator="equal">
      <formula>"否"</formula>
    </cfRule>
  </conditionalFormatting>
  <conditionalFormatting sqref="M7">
    <cfRule type="cellIs" dxfId="1" priority="61" operator="equal">
      <formula>"否"</formula>
    </cfRule>
  </conditionalFormatting>
  <conditionalFormatting sqref="C8:O8">
    <cfRule type="expression" dxfId="0" priority="40">
      <formula>$I8="否"</formula>
    </cfRule>
    <cfRule type="expression" dxfId="0" priority="20">
      <formula>$M8="否"</formula>
    </cfRule>
  </conditionalFormatting>
  <conditionalFormatting sqref="I8">
    <cfRule type="cellIs" dxfId="1" priority="80" operator="equal">
      <formula>"否"</formula>
    </cfRule>
  </conditionalFormatting>
  <conditionalFormatting sqref="M8">
    <cfRule type="cellIs" dxfId="1" priority="60" operator="equal">
      <formula>"否"</formula>
    </cfRule>
  </conditionalFormatting>
  <conditionalFormatting sqref="C9:O9">
    <cfRule type="expression" dxfId="0" priority="39">
      <formula>$I9="否"</formula>
    </cfRule>
    <cfRule type="expression" dxfId="0" priority="19">
      <formula>$M9="否"</formula>
    </cfRule>
  </conditionalFormatting>
  <conditionalFormatting sqref="I9">
    <cfRule type="cellIs" dxfId="1" priority="79" operator="equal">
      <formula>"否"</formula>
    </cfRule>
  </conditionalFormatting>
  <conditionalFormatting sqref="M9">
    <cfRule type="cellIs" dxfId="1" priority="59" operator="equal">
      <formula>"否"</formula>
    </cfRule>
  </conditionalFormatting>
  <conditionalFormatting sqref="C10:O10">
    <cfRule type="expression" dxfId="0" priority="38">
      <formula>$I10="否"</formula>
    </cfRule>
    <cfRule type="expression" dxfId="0" priority="18">
      <formula>$M10="否"</formula>
    </cfRule>
  </conditionalFormatting>
  <conditionalFormatting sqref="I10">
    <cfRule type="cellIs" dxfId="1" priority="78" operator="equal">
      <formula>"否"</formula>
    </cfRule>
  </conditionalFormatting>
  <conditionalFormatting sqref="M10">
    <cfRule type="cellIs" dxfId="1" priority="58" operator="equal">
      <formula>"否"</formula>
    </cfRule>
  </conditionalFormatting>
  <conditionalFormatting sqref="C11:O11">
    <cfRule type="expression" dxfId="0" priority="37">
      <formula>$I11="否"</formula>
    </cfRule>
    <cfRule type="expression" dxfId="0" priority="17">
      <formula>$M11="否"</formula>
    </cfRule>
  </conditionalFormatting>
  <conditionalFormatting sqref="I11">
    <cfRule type="cellIs" dxfId="1" priority="77" operator="equal">
      <formula>"否"</formula>
    </cfRule>
  </conditionalFormatting>
  <conditionalFormatting sqref="M11">
    <cfRule type="cellIs" dxfId="1" priority="57" operator="equal">
      <formula>"否"</formula>
    </cfRule>
  </conditionalFormatting>
  <conditionalFormatting sqref="C12:O12">
    <cfRule type="expression" dxfId="0" priority="36">
      <formula>$I12="否"</formula>
    </cfRule>
    <cfRule type="expression" dxfId="0" priority="16">
      <formula>$M12="否"</formula>
    </cfRule>
  </conditionalFormatting>
  <conditionalFormatting sqref="I12">
    <cfRule type="cellIs" dxfId="1" priority="76" operator="equal">
      <formula>"否"</formula>
    </cfRule>
  </conditionalFormatting>
  <conditionalFormatting sqref="M12">
    <cfRule type="cellIs" dxfId="1" priority="56" operator="equal">
      <formula>"否"</formula>
    </cfRule>
  </conditionalFormatting>
  <conditionalFormatting sqref="C13:O13">
    <cfRule type="expression" dxfId="0" priority="35">
      <formula>$I13="否"</formula>
    </cfRule>
    <cfRule type="expression" dxfId="0" priority="15">
      <formula>$M13="否"</formula>
    </cfRule>
  </conditionalFormatting>
  <conditionalFormatting sqref="I13">
    <cfRule type="cellIs" dxfId="1" priority="75" operator="equal">
      <formula>"否"</formula>
    </cfRule>
  </conditionalFormatting>
  <conditionalFormatting sqref="M13">
    <cfRule type="cellIs" dxfId="1" priority="55" operator="equal">
      <formula>"否"</formula>
    </cfRule>
  </conditionalFormatting>
  <conditionalFormatting sqref="C14:O14">
    <cfRule type="expression" dxfId="0" priority="34">
      <formula>$I14="否"</formula>
    </cfRule>
    <cfRule type="expression" dxfId="0" priority="14">
      <formula>$M14="否"</formula>
    </cfRule>
  </conditionalFormatting>
  <conditionalFormatting sqref="I14">
    <cfRule type="cellIs" dxfId="1" priority="74" operator="equal">
      <formula>"否"</formula>
    </cfRule>
  </conditionalFormatting>
  <conditionalFormatting sqref="M14">
    <cfRule type="cellIs" dxfId="1" priority="54" operator="equal">
      <formula>"否"</formula>
    </cfRule>
  </conditionalFormatting>
  <conditionalFormatting sqref="C15:O15">
    <cfRule type="expression" dxfId="0" priority="33">
      <formula>$I15="否"</formula>
    </cfRule>
    <cfRule type="expression" dxfId="0" priority="13">
      <formula>$M15="否"</formula>
    </cfRule>
  </conditionalFormatting>
  <conditionalFormatting sqref="I15">
    <cfRule type="cellIs" dxfId="1" priority="73" operator="equal">
      <formula>"否"</formula>
    </cfRule>
  </conditionalFormatting>
  <conditionalFormatting sqref="M15">
    <cfRule type="cellIs" dxfId="1" priority="53" operator="equal">
      <formula>"否"</formula>
    </cfRule>
  </conditionalFormatting>
  <conditionalFormatting sqref="C16:O16">
    <cfRule type="expression" dxfId="0" priority="32">
      <formula>$I16="否"</formula>
    </cfRule>
    <cfRule type="expression" dxfId="0" priority="12">
      <formula>$M16="否"</formula>
    </cfRule>
  </conditionalFormatting>
  <conditionalFormatting sqref="I16">
    <cfRule type="cellIs" dxfId="1" priority="72" operator="equal">
      <formula>"否"</formula>
    </cfRule>
  </conditionalFormatting>
  <conditionalFormatting sqref="M16">
    <cfRule type="cellIs" dxfId="1" priority="52" operator="equal">
      <formula>"否"</formula>
    </cfRule>
  </conditionalFormatting>
  <conditionalFormatting sqref="C17:O17">
    <cfRule type="expression" dxfId="0" priority="31">
      <formula>$I17="否"</formula>
    </cfRule>
    <cfRule type="expression" dxfId="0" priority="11">
      <formula>$M17="否"</formula>
    </cfRule>
  </conditionalFormatting>
  <conditionalFormatting sqref="I17">
    <cfRule type="cellIs" dxfId="1" priority="71" operator="equal">
      <formula>"否"</formula>
    </cfRule>
  </conditionalFormatting>
  <conditionalFormatting sqref="M17">
    <cfRule type="cellIs" dxfId="1" priority="51" operator="equal">
      <formula>"否"</formula>
    </cfRule>
  </conditionalFormatting>
  <conditionalFormatting sqref="C18:O18">
    <cfRule type="expression" dxfId="0" priority="30">
      <formula>$I18="否"</formula>
    </cfRule>
    <cfRule type="expression" dxfId="0" priority="10">
      <formula>$M18="否"</formula>
    </cfRule>
  </conditionalFormatting>
  <conditionalFormatting sqref="I18">
    <cfRule type="cellIs" dxfId="1" priority="70" operator="equal">
      <formula>"否"</formula>
    </cfRule>
  </conditionalFormatting>
  <conditionalFormatting sqref="M18">
    <cfRule type="cellIs" dxfId="1" priority="50" operator="equal">
      <formula>"否"</formula>
    </cfRule>
  </conditionalFormatting>
  <conditionalFormatting sqref="C19:O19">
    <cfRule type="expression" dxfId="0" priority="29">
      <formula>$I19="否"</formula>
    </cfRule>
    <cfRule type="expression" dxfId="0" priority="9">
      <formula>$M19="否"</formula>
    </cfRule>
  </conditionalFormatting>
  <conditionalFormatting sqref="I19">
    <cfRule type="cellIs" dxfId="1" priority="69" operator="equal">
      <formula>"否"</formula>
    </cfRule>
  </conditionalFormatting>
  <conditionalFormatting sqref="M19">
    <cfRule type="cellIs" dxfId="1" priority="49" operator="equal">
      <formula>"否"</formula>
    </cfRule>
  </conditionalFormatting>
  <conditionalFormatting sqref="C20:O20">
    <cfRule type="expression" dxfId="0" priority="28">
      <formula>$I20="否"</formula>
    </cfRule>
    <cfRule type="expression" dxfId="0" priority="8">
      <formula>$M20="否"</formula>
    </cfRule>
  </conditionalFormatting>
  <conditionalFormatting sqref="I20">
    <cfRule type="cellIs" dxfId="1" priority="68" operator="equal">
      <formula>"否"</formula>
    </cfRule>
  </conditionalFormatting>
  <conditionalFormatting sqref="M20">
    <cfRule type="cellIs" dxfId="1" priority="48" operator="equal">
      <formula>"否"</formula>
    </cfRule>
  </conditionalFormatting>
  <conditionalFormatting sqref="C21:O21">
    <cfRule type="expression" dxfId="0" priority="27">
      <formula>$I21="否"</formula>
    </cfRule>
    <cfRule type="expression" dxfId="0" priority="7">
      <formula>$M21="否"</formula>
    </cfRule>
  </conditionalFormatting>
  <conditionalFormatting sqref="I21">
    <cfRule type="cellIs" dxfId="1" priority="67" operator="equal">
      <formula>"否"</formula>
    </cfRule>
  </conditionalFormatting>
  <conditionalFormatting sqref="M21">
    <cfRule type="cellIs" dxfId="1" priority="47" operator="equal">
      <formula>"否"</formula>
    </cfRule>
  </conditionalFormatting>
  <conditionalFormatting sqref="C22:O22">
    <cfRule type="expression" dxfId="0" priority="26">
      <formula>$I22="否"</formula>
    </cfRule>
    <cfRule type="expression" dxfId="0" priority="6">
      <formula>$M22="否"</formula>
    </cfRule>
  </conditionalFormatting>
  <conditionalFormatting sqref="I22">
    <cfRule type="cellIs" dxfId="1" priority="66" operator="equal">
      <formula>"否"</formula>
    </cfRule>
  </conditionalFormatting>
  <conditionalFormatting sqref="M22">
    <cfRule type="cellIs" dxfId="1" priority="46" operator="equal">
      <formula>"否"</formula>
    </cfRule>
  </conditionalFormatting>
  <conditionalFormatting sqref="C23:O23">
    <cfRule type="expression" dxfId="0" priority="25">
      <formula>$I23="否"</formula>
    </cfRule>
    <cfRule type="expression" dxfId="0" priority="5">
      <formula>$M23="否"</formula>
    </cfRule>
  </conditionalFormatting>
  <conditionalFormatting sqref="I23">
    <cfRule type="cellIs" dxfId="1" priority="65" operator="equal">
      <formula>"否"</formula>
    </cfRule>
  </conditionalFormatting>
  <conditionalFormatting sqref="M23">
    <cfRule type="cellIs" dxfId="1" priority="45" operator="equal">
      <formula>"否"</formula>
    </cfRule>
  </conditionalFormatting>
  <conditionalFormatting sqref="C24:O24">
    <cfRule type="expression" dxfId="0" priority="24">
      <formula>$I24="否"</formula>
    </cfRule>
    <cfRule type="expression" dxfId="0" priority="4">
      <formula>$M24="否"</formula>
    </cfRule>
  </conditionalFormatting>
  <conditionalFormatting sqref="I24">
    <cfRule type="cellIs" dxfId="1" priority="64" operator="equal">
      <formula>"否"</formula>
    </cfRule>
  </conditionalFormatting>
  <conditionalFormatting sqref="M24">
    <cfRule type="cellIs" dxfId="1" priority="44" operator="equal">
      <formula>"否"</formula>
    </cfRule>
  </conditionalFormatting>
  <conditionalFormatting sqref="C25:O25">
    <cfRule type="expression" dxfId="0" priority="23">
      <formula>$I25="否"</formula>
    </cfRule>
    <cfRule type="expression" dxfId="0" priority="3">
      <formula>$M25="否"</formula>
    </cfRule>
  </conditionalFormatting>
  <conditionalFormatting sqref="I25">
    <cfRule type="cellIs" dxfId="1" priority="63" operator="equal">
      <formula>"否"</formula>
    </cfRule>
  </conditionalFormatting>
  <conditionalFormatting sqref="M25">
    <cfRule type="cellIs" dxfId="1" priority="43" operator="equal">
      <formula>"否"</formula>
    </cfRule>
  </conditionalFormatting>
  <conditionalFormatting sqref="C26:O26">
    <cfRule type="expression" dxfId="0" priority="22">
      <formula>$I26="否"</formula>
    </cfRule>
    <cfRule type="expression" dxfId="0" priority="2">
      <formula>$M26="否"</formula>
    </cfRule>
  </conditionalFormatting>
  <conditionalFormatting sqref="I26">
    <cfRule type="cellIs" dxfId="1" priority="62" operator="equal">
      <formula>"否"</formula>
    </cfRule>
  </conditionalFormatting>
  <conditionalFormatting sqref="M26">
    <cfRule type="cellIs" dxfId="1" priority="42" operator="equal">
      <formula>"否"</formula>
    </cfRule>
  </conditionalFormatting>
  <conditionalFormatting sqref="L5:L1048576">
    <cfRule type="cellIs" dxfId="2" priority="1" operator="between">
      <formula>1</formula>
      <formula>20</formula>
    </cfRule>
  </conditionalFormatting>
  <conditionalFormatting sqref="I5:I6 I27:I1048576">
    <cfRule type="cellIs" dxfId="1" priority="85" operator="equal">
      <formula>"否"</formula>
    </cfRule>
  </conditionalFormatting>
  <conditionalFormatting sqref="M5:M6 M27:M1048576">
    <cfRule type="cellIs" dxfId="1" priority="84" operator="equal">
      <formula>"否"</formula>
    </cfRule>
  </conditionalFormatting>
  <dataValidations count="1">
    <dataValidation type="list" allowBlank="1" showInputMessage="1" showErrorMessage="1" sqref="I6:I26 M6:M9 M10:M26">
      <formula1>"是,否"</formula1>
    </dataValidation>
  </dataValidations>
  <pageMargins left="0.7" right="0.7" top="0.75" bottom="0.75" header="0.3" footer="0.3"/>
  <pageSetup paperSize="9" scale="7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试用期管理登记表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yanhua</dc:creator>
  <dcterms:created xsi:type="dcterms:W3CDTF">2021-02-23T01:30:00Z</dcterms:created>
  <dcterms:modified xsi:type="dcterms:W3CDTF">2021-02-23T02:07:53Z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  <property fmtid="{D5CDD505-2E9C-101B-9397-08002B2CF9AE}" pid="3" name="KSOTemplateUUID">
    <vt:lpwstr>v1.0_mb_H6IYPeYNW9p3Ang5YJIg6A==</vt:lpwstr>
  </property>
</Properties>
</file>