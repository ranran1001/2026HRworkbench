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0480"/>
  </bookViews>
  <sheets>
    <sheet name="2025年度人员编制增减表（扩员版）" sheetId="2" r:id="rId1"/>
    <sheet name="2025年度人员编制增减表（裁员版）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<sst xmlns="http://schemas.openxmlformats.org/spreadsheetml/2006/main" count="186" uniqueCount="58">
  <si>
    <t>2025年度人员编制增减表（扩员版）</t>
  </si>
  <si>
    <t>说明：本表格主要用于人力资源规划编制阶段。在对员工未来的需求与供给预测数据的基础上，确定本公司2025年的人员编制计划。其中占比、小计、总计、增减数据为自动计算。</t>
  </si>
  <si>
    <t>部门名称</t>
  </si>
  <si>
    <t>岗位名称</t>
  </si>
  <si>
    <t>所属职级</t>
  </si>
  <si>
    <t>目前</t>
  </si>
  <si>
    <t>2025年计划</t>
  </si>
  <si>
    <t>人数</t>
  </si>
  <si>
    <t>占比</t>
  </si>
  <si>
    <t>增减</t>
  </si>
  <si>
    <t>总计</t>
  </si>
  <si>
    <t>总经办</t>
  </si>
  <si>
    <t>总经理</t>
  </si>
  <si>
    <t>副总经理</t>
  </si>
  <si>
    <t>助理秘书</t>
  </si>
  <si>
    <t>专员</t>
  </si>
  <si>
    <t>小计</t>
  </si>
  <si>
    <t>人力资源部</t>
  </si>
  <si>
    <t>人力资源总监</t>
  </si>
  <si>
    <t>总监</t>
  </si>
  <si>
    <t>人力资源经理</t>
  </si>
  <si>
    <t>经理</t>
  </si>
  <si>
    <t>人力资源专员</t>
  </si>
  <si>
    <t>人力资源助理</t>
  </si>
  <si>
    <t>助理</t>
  </si>
  <si>
    <t>行政部</t>
  </si>
  <si>
    <t>行政总监</t>
  </si>
  <si>
    <t>行政经理</t>
  </si>
  <si>
    <t>行政专员</t>
  </si>
  <si>
    <t>前台</t>
  </si>
  <si>
    <t>财务部</t>
  </si>
  <si>
    <t>财务总监</t>
  </si>
  <si>
    <t>财务经理</t>
  </si>
  <si>
    <t>总账会计</t>
  </si>
  <si>
    <t>主管</t>
  </si>
  <si>
    <t>会计</t>
  </si>
  <si>
    <t>出纳</t>
  </si>
  <si>
    <t>销售部</t>
  </si>
  <si>
    <t>销售总监</t>
  </si>
  <si>
    <t>销售经理</t>
  </si>
  <si>
    <t>销售主管</t>
  </si>
  <si>
    <t>销售代表</t>
  </si>
  <si>
    <t>销售助理</t>
  </si>
  <si>
    <t>采购部</t>
  </si>
  <si>
    <t>采购总监</t>
  </si>
  <si>
    <t>采购经理</t>
  </si>
  <si>
    <t>采购专员</t>
  </si>
  <si>
    <t>技术部</t>
  </si>
  <si>
    <t>技术总监</t>
  </si>
  <si>
    <t>技术经理</t>
  </si>
  <si>
    <t>技术主管</t>
  </si>
  <si>
    <t>软件工程师</t>
  </si>
  <si>
    <t>硬件工程师</t>
  </si>
  <si>
    <t>市场部</t>
  </si>
  <si>
    <t>市场总监</t>
  </si>
  <si>
    <t>市场经理</t>
  </si>
  <si>
    <t>市场专员</t>
  </si>
  <si>
    <t>2025年度人员编制增减表（裁员版）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</si>
</sst>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theme="1"/>
      <name val="思源黑体 CN Regular"/>
      <charset val="134"/>
    </font>
    <font>
      <sz val="26"/>
      <color theme="4"/>
      <name val="思源黑体 CN Heavy"/>
      <charset val="134"/>
    </font>
    <font>
      <sz val="10"/>
      <color theme="0"/>
      <name val="思源黑体 CN Heavy"/>
      <charset val="134"/>
    </font>
    <font>
      <sz val="10"/>
      <color theme="1"/>
      <name val="思源黑体 CN Heavy"/>
      <charset val="134"/>
    </font>
    <font>
      <sz val="10"/>
      <color theme="1"/>
      <name val="思源黑体 CN Regular"/>
      <charset val="134"/>
    </font>
    <font>
      <sz val="10"/>
      <name val="思源黑体 CN Regular"/>
      <charset val="134"/>
    </font>
    <font>
      <sz val="10"/>
      <name val="思源黑体 CN Heavy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medium">
        <color auto="1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auto="1"/>
      </left>
      <right style="thin">
        <color theme="0"/>
      </right>
      <top style="medium">
        <color auto="1"/>
      </top>
      <bottom style="medium">
        <color auto="1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theme="0" tint="-0.5"/>
      </right>
      <top style="medium">
        <color auto="1"/>
      </top>
      <bottom style="thin">
        <color theme="0" tint="-0.5"/>
      </bottom>
      <diagonal/>
    </border>
    <border>
      <left style="thin">
        <color theme="0" tint="-0.5"/>
      </left>
      <right style="thin">
        <color theme="0" tint="-0.5"/>
      </right>
      <top style="medium">
        <color auto="1"/>
      </top>
      <bottom style="thin">
        <color theme="0" tint="-0.5"/>
      </bottom>
      <diagonal/>
    </border>
    <border>
      <left style="medium">
        <color auto="1"/>
      </left>
      <right style="thin">
        <color theme="0" tint="-0.5"/>
      </right>
      <top style="thin">
        <color theme="0" tint="-0.5"/>
      </top>
      <bottom style="thin">
        <color theme="0" tint="-0.5"/>
      </bottom>
      <diagonal/>
    </border>
    <border>
      <left style="thin">
        <color theme="0" tint="-0.5"/>
      </left>
      <right style="thin">
        <color theme="0" tint="-0.5"/>
      </right>
      <top style="thin">
        <color theme="0" tint="-0.5"/>
      </top>
      <bottom style="thin">
        <color theme="0" tint="-0.5"/>
      </bottom>
      <diagonal/>
    </border>
    <border>
      <left style="medium">
        <color auto="1"/>
      </left>
      <right style="thin">
        <color theme="0" tint="-0.5"/>
      </right>
      <top style="thin">
        <color theme="0" tint="-0.5"/>
      </top>
      <bottom style="medium">
        <color auto="1"/>
      </bottom>
      <diagonal/>
    </border>
    <border>
      <left style="thin">
        <color theme="0" tint="-0.5"/>
      </left>
      <right style="thin">
        <color theme="0" tint="-0.5"/>
      </right>
      <top style="thin">
        <color theme="0" tint="-0.5"/>
      </top>
      <bottom style="medium">
        <color auto="1"/>
      </bottom>
      <diagonal/>
    </border>
    <border>
      <left style="thin">
        <color theme="0"/>
      </left>
      <right style="medium">
        <color auto="1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medium">
        <color auto="1"/>
      </right>
      <top style="thin">
        <color theme="0"/>
      </top>
      <bottom/>
      <diagonal/>
    </border>
    <border>
      <left style="thin">
        <color theme="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0" tint="-0.5"/>
      </left>
      <right style="medium">
        <color auto="1"/>
      </right>
      <top style="medium">
        <color auto="1"/>
      </top>
      <bottom style="thin">
        <color theme="0" tint="-0.5"/>
      </bottom>
      <diagonal/>
    </border>
    <border>
      <left style="thin">
        <color theme="0" tint="-0.5"/>
      </left>
      <right style="medium">
        <color auto="1"/>
      </right>
      <top style="thin">
        <color theme="0" tint="-0.5"/>
      </top>
      <bottom style="thin">
        <color theme="0" tint="-0.5"/>
      </bottom>
      <diagonal/>
    </border>
    <border>
      <left style="thin">
        <color theme="0" tint="-0.5"/>
      </left>
      <right style="medium">
        <color auto="1"/>
      </right>
      <top style="thin">
        <color theme="0" tint="-0.5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19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22" applyNumberFormat="0" applyAlignment="0" applyProtection="0">
      <alignment vertical="center"/>
    </xf>
    <xf numFmtId="0" fontId="18" fillId="9" borderId="23" applyNumberFormat="0" applyAlignment="0" applyProtection="0">
      <alignment vertical="center"/>
    </xf>
    <xf numFmtId="0" fontId="19" fillId="9" borderId="22" applyNumberFormat="0" applyAlignment="0" applyProtection="0">
      <alignment vertical="center"/>
    </xf>
    <xf numFmtId="0" fontId="20" fillId="10" borderId="24" applyNumberFormat="0" applyAlignment="0" applyProtection="0">
      <alignment vertical="center"/>
    </xf>
    <xf numFmtId="0" fontId="21" fillId="0" borderId="25" applyNumberFormat="0" applyFill="0" applyAlignment="0" applyProtection="0">
      <alignment vertical="center"/>
    </xf>
    <xf numFmtId="0" fontId="22" fillId="0" borderId="26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Border="1" applyAlignment="1">
      <alignment vertical="center" wrapText="1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0" fontId="3" fillId="3" borderId="6" xfId="0" applyNumberFormat="1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10" fontId="5" fillId="0" borderId="8" xfId="0" applyNumberFormat="1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10" fontId="5" fillId="0" borderId="10" xfId="0" applyNumberFormat="1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10" fontId="4" fillId="4" borderId="12" xfId="0" applyNumberFormat="1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10" fontId="3" fillId="6" borderId="6" xfId="0" applyNumberFormat="1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sz="1200" b="1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各部门不同职位人数分析</a:t>
            </a:r>
            <a:endParaRPr sz="1200" b="1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'2025年度人员编制增减表（扩员版）'!$E$4:$E$5</c:f>
              <c:strCache>
                <c:ptCount val="1"/>
                <c:pt idx="0">
                  <c:v>目前 人数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dLbls>
            <c:delete val="1"/>
          </c:dLbls>
          <c:cat>
            <c:strRef>
              <c:f>'2025年度人员编制增减表（扩员版）'!$B$7:$B$46</c:f>
              <c:strCache>
                <c:ptCount val="40"/>
                <c:pt idx="0">
                  <c:v>总经办</c:v>
                </c:pt>
                <c:pt idx="4">
                  <c:v>人力资源部</c:v>
                </c:pt>
                <c:pt idx="9">
                  <c:v>行政部</c:v>
                </c:pt>
                <c:pt idx="14">
                  <c:v>财务部</c:v>
                </c:pt>
                <c:pt idx="20">
                  <c:v>销售部</c:v>
                </c:pt>
                <c:pt idx="26">
                  <c:v>采购部</c:v>
                </c:pt>
                <c:pt idx="30">
                  <c:v>技术部</c:v>
                </c:pt>
                <c:pt idx="36">
                  <c:v>市场部</c:v>
                </c:pt>
              </c:strCache>
            </c:strRef>
          </c:cat>
          <c:val>
            <c:numRef>
              <c:f>'2025年度人员编制增减表（扩员版）'!$E$7:$E$46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1</c:v>
                </c:pt>
                <c:pt idx="5">
                  <c:v>1</c:v>
                </c:pt>
                <c:pt idx="6">
                  <c:v>7</c:v>
                </c:pt>
                <c:pt idx="7">
                  <c:v>4</c:v>
                </c:pt>
                <c:pt idx="8">
                  <c:v>13</c:v>
                </c:pt>
                <c:pt idx="9">
                  <c:v>1</c:v>
                </c:pt>
                <c:pt idx="10">
                  <c:v>1</c:v>
                </c:pt>
                <c:pt idx="11">
                  <c:v>6</c:v>
                </c:pt>
                <c:pt idx="12">
                  <c:v>2</c:v>
                </c:pt>
                <c:pt idx="13">
                  <c:v>10</c:v>
                </c:pt>
                <c:pt idx="14">
                  <c:v>1</c:v>
                </c:pt>
                <c:pt idx="15">
                  <c:v>1</c:v>
                </c:pt>
                <c:pt idx="16">
                  <c:v>3</c:v>
                </c:pt>
                <c:pt idx="17">
                  <c:v>8</c:v>
                </c:pt>
                <c:pt idx="18">
                  <c:v>4</c:v>
                </c:pt>
                <c:pt idx="19">
                  <c:v>17</c:v>
                </c:pt>
                <c:pt idx="20">
                  <c:v>1</c:v>
                </c:pt>
                <c:pt idx="21">
                  <c:v>4</c:v>
                </c:pt>
                <c:pt idx="22">
                  <c:v>12</c:v>
                </c:pt>
                <c:pt idx="23">
                  <c:v>95</c:v>
                </c:pt>
                <c:pt idx="24">
                  <c:v>23</c:v>
                </c:pt>
                <c:pt idx="25">
                  <c:v>135</c:v>
                </c:pt>
                <c:pt idx="26">
                  <c:v>1</c:v>
                </c:pt>
                <c:pt idx="27">
                  <c:v>2</c:v>
                </c:pt>
                <c:pt idx="28">
                  <c:v>11</c:v>
                </c:pt>
                <c:pt idx="29">
                  <c:v>14</c:v>
                </c:pt>
                <c:pt idx="30">
                  <c:v>1</c:v>
                </c:pt>
                <c:pt idx="31">
                  <c:v>4</c:v>
                </c:pt>
                <c:pt idx="32">
                  <c:v>12</c:v>
                </c:pt>
                <c:pt idx="33">
                  <c:v>58</c:v>
                </c:pt>
                <c:pt idx="34">
                  <c:v>37</c:v>
                </c:pt>
                <c:pt idx="35">
                  <c:v>112</c:v>
                </c:pt>
                <c:pt idx="36">
                  <c:v>1</c:v>
                </c:pt>
                <c:pt idx="37">
                  <c:v>1</c:v>
                </c:pt>
                <c:pt idx="38">
                  <c:v>12</c:v>
                </c:pt>
                <c:pt idx="39">
                  <c:v>14</c:v>
                </c:pt>
              </c:numCache>
            </c:numRef>
          </c:val>
        </c:ser>
        <c:ser>
          <c:idx val="3"/>
          <c:order val="3"/>
          <c:tx>
            <c:strRef>
              <c:f>'2025年度人员编制增减表（扩员版）'!$G$4:$G$5</c:f>
              <c:strCache>
                <c:ptCount val="1"/>
                <c:pt idx="0">
                  <c:v>2025年计划 人数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dLbls>
            <c:delete val="1"/>
          </c:dLbls>
          <c:cat>
            <c:strRef>
              <c:f>'2025年度人员编制增减表（扩员版）'!$B$7:$B$46</c:f>
              <c:strCache>
                <c:ptCount val="40"/>
                <c:pt idx="0">
                  <c:v>总经办</c:v>
                </c:pt>
                <c:pt idx="4">
                  <c:v>人力资源部</c:v>
                </c:pt>
                <c:pt idx="9">
                  <c:v>行政部</c:v>
                </c:pt>
                <c:pt idx="14">
                  <c:v>财务部</c:v>
                </c:pt>
                <c:pt idx="20">
                  <c:v>销售部</c:v>
                </c:pt>
                <c:pt idx="26">
                  <c:v>采购部</c:v>
                </c:pt>
                <c:pt idx="30">
                  <c:v>技术部</c:v>
                </c:pt>
                <c:pt idx="36">
                  <c:v>市场部</c:v>
                </c:pt>
              </c:strCache>
            </c:strRef>
          </c:cat>
          <c:val>
            <c:numRef>
              <c:f>'2025年度人员编制增减表（扩员版）'!$G$7:$G$46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9</c:v>
                </c:pt>
                <c:pt idx="4">
                  <c:v>1</c:v>
                </c:pt>
                <c:pt idx="5">
                  <c:v>2</c:v>
                </c:pt>
                <c:pt idx="6">
                  <c:v>10</c:v>
                </c:pt>
                <c:pt idx="7">
                  <c:v>6</c:v>
                </c:pt>
                <c:pt idx="8">
                  <c:v>19</c:v>
                </c:pt>
                <c:pt idx="9">
                  <c:v>1</c:v>
                </c:pt>
                <c:pt idx="10">
                  <c:v>1</c:v>
                </c:pt>
                <c:pt idx="11">
                  <c:v>8</c:v>
                </c:pt>
                <c:pt idx="12">
                  <c:v>2</c:v>
                </c:pt>
                <c:pt idx="13">
                  <c:v>12</c:v>
                </c:pt>
                <c:pt idx="14">
                  <c:v>1</c:v>
                </c:pt>
                <c:pt idx="15">
                  <c:v>2</c:v>
                </c:pt>
                <c:pt idx="16">
                  <c:v>4</c:v>
                </c:pt>
                <c:pt idx="17">
                  <c:v>10</c:v>
                </c:pt>
                <c:pt idx="18">
                  <c:v>6</c:v>
                </c:pt>
                <c:pt idx="19">
                  <c:v>23</c:v>
                </c:pt>
                <c:pt idx="20">
                  <c:v>1</c:v>
                </c:pt>
                <c:pt idx="21">
                  <c:v>10</c:v>
                </c:pt>
                <c:pt idx="22">
                  <c:v>20</c:v>
                </c:pt>
                <c:pt idx="23">
                  <c:v>150</c:v>
                </c:pt>
                <c:pt idx="24">
                  <c:v>50</c:v>
                </c:pt>
                <c:pt idx="25">
                  <c:v>231</c:v>
                </c:pt>
                <c:pt idx="26">
                  <c:v>1</c:v>
                </c:pt>
                <c:pt idx="27">
                  <c:v>2</c:v>
                </c:pt>
                <c:pt idx="28">
                  <c:v>15</c:v>
                </c:pt>
                <c:pt idx="29">
                  <c:v>18</c:v>
                </c:pt>
                <c:pt idx="30">
                  <c:v>1</c:v>
                </c:pt>
                <c:pt idx="31">
                  <c:v>8</c:v>
                </c:pt>
                <c:pt idx="32">
                  <c:v>16</c:v>
                </c:pt>
                <c:pt idx="33">
                  <c:v>80</c:v>
                </c:pt>
                <c:pt idx="34">
                  <c:v>60</c:v>
                </c:pt>
                <c:pt idx="35">
                  <c:v>165</c:v>
                </c:pt>
                <c:pt idx="36">
                  <c:v>1</c:v>
                </c:pt>
                <c:pt idx="37">
                  <c:v>2</c:v>
                </c:pt>
                <c:pt idx="38">
                  <c:v>20</c:v>
                </c:pt>
                <c:pt idx="39">
                  <c:v>23</c:v>
                </c:pt>
              </c:numCache>
            </c:numRef>
          </c:val>
        </c:ser>
        <c:ser>
          <c:idx val="6"/>
          <c:order val="6"/>
          <c:tx>
            <c:strRef>
              <c:f>#REF!</c:f>
              <c:strCache>
                <c:ptCount val="1"/>
                <c:pt idx="0">
                  <c:v/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hade val="51000"/>
                    <a:satMod val="130000"/>
                  </a:schemeClr>
                </a:gs>
                <a:gs pos="80000">
                  <a:schemeClr val="accent1">
                    <a:lumMod val="60000"/>
                    <a:shade val="93000"/>
                    <a:satMod val="130000"/>
                  </a:schemeClr>
                </a:gs>
                <a:gs pos="100000">
                  <a:schemeClr val="accent1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dLbls>
            <c:delete val="1"/>
          </c:dLbls>
          <c:cat>
            <c:strRef>
              <c:f>'2025年度人员编制增减表（扩员版）'!$B$7:$B$46</c:f>
              <c:strCache>
                <c:ptCount val="40"/>
                <c:pt idx="0">
                  <c:v>总经办</c:v>
                </c:pt>
                <c:pt idx="4">
                  <c:v>人力资源部</c:v>
                </c:pt>
                <c:pt idx="9">
                  <c:v>行政部</c:v>
                </c:pt>
                <c:pt idx="14">
                  <c:v>财务部</c:v>
                </c:pt>
                <c:pt idx="20">
                  <c:v>销售部</c:v>
                </c:pt>
                <c:pt idx="26">
                  <c:v>采购部</c:v>
                </c:pt>
                <c:pt idx="30">
                  <c:v>技术部</c:v>
                </c:pt>
                <c:pt idx="36">
                  <c:v>市场部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9"/>
          <c:order val="9"/>
          <c:tx>
            <c:strRef>
              <c:f>#REF!</c:f>
              <c:strCache>
                <c:ptCount val="1"/>
                <c:pt idx="0">
                  <c:v/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hade val="51000"/>
                    <a:satMod val="130000"/>
                  </a:schemeClr>
                </a:gs>
                <a:gs pos="80000">
                  <a:schemeClr val="accent4">
                    <a:lumMod val="60000"/>
                    <a:shade val="93000"/>
                    <a:satMod val="130000"/>
                  </a:schemeClr>
                </a:gs>
                <a:gs pos="100000">
                  <a:schemeClr val="accent4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dLbls>
            <c:delete val="1"/>
          </c:dLbls>
          <c:cat>
            <c:strRef>
              <c:f>'2025年度人员编制增减表（扩员版）'!$B$7:$B$46</c:f>
              <c:strCache>
                <c:ptCount val="40"/>
                <c:pt idx="0">
                  <c:v>总经办</c:v>
                </c:pt>
                <c:pt idx="4">
                  <c:v>人力资源部</c:v>
                </c:pt>
                <c:pt idx="9">
                  <c:v>行政部</c:v>
                </c:pt>
                <c:pt idx="14">
                  <c:v>财务部</c:v>
                </c:pt>
                <c:pt idx="20">
                  <c:v>销售部</c:v>
                </c:pt>
                <c:pt idx="26">
                  <c:v>采购部</c:v>
                </c:pt>
                <c:pt idx="30">
                  <c:v>技术部</c:v>
                </c:pt>
                <c:pt idx="36">
                  <c:v>市场部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2"/>
          <c:order val="12"/>
          <c:tx>
            <c:strRef>
              <c:f>#REF!</c:f>
              <c:strCache>
                <c:ptCount val="1"/>
                <c:pt idx="0">
                  <c:v/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1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1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dLbls>
            <c:delete val="1"/>
          </c:dLbls>
          <c:cat>
            <c:strRef>
              <c:f>'2025年度人员编制增减表（扩员版）'!$B$7:$B$46</c:f>
              <c:strCache>
                <c:ptCount val="40"/>
                <c:pt idx="0">
                  <c:v>总经办</c:v>
                </c:pt>
                <c:pt idx="4">
                  <c:v>人力资源部</c:v>
                </c:pt>
                <c:pt idx="9">
                  <c:v>行政部</c:v>
                </c:pt>
                <c:pt idx="14">
                  <c:v>财务部</c:v>
                </c:pt>
                <c:pt idx="20">
                  <c:v>销售部</c:v>
                </c:pt>
                <c:pt idx="26">
                  <c:v>采购部</c:v>
                </c:pt>
                <c:pt idx="30">
                  <c:v>技术部</c:v>
                </c:pt>
                <c:pt idx="36">
                  <c:v>市场部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/>
              </a:solidFill>
              <a:round/>
            </a:ln>
            <a:effectLst/>
          </c:spPr>
        </c:dropLines>
        <c:axId val="147679823"/>
        <c:axId val="687823428"/>
        <c:extLst>
          <c:ext xmlns:c15="http://schemas.microsoft.com/office/drawing/2012/chart" uri="{02D57815-91ED-43cb-92C2-25804820EDAC}">
            <c15:filteredArea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'2025年度人员编制增减表（扩员版）'!$F$4:$F$5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hade val="51000"/>
                          <a:satMod val="130000"/>
                        </a:schemeClr>
                      </a:gs>
                      <a:gs pos="80000">
                        <a:schemeClr val="accent2">
                          <a:shade val="93000"/>
                          <a:satMod val="130000"/>
                        </a:schemeClr>
                      </a:gs>
                      <a:gs pos="100000">
                        <a:schemeClr val="accent2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'2025年度人员编制增减表（扩员版）'!$B$7:$B$46</c15:sqref>
                        </c15:formulaRef>
                      </c:ext>
                    </c:extLst>
                    <c:strCache>
                      <c:ptCount val="40"/>
                      <c:pt idx="0">
                        <c:v>总经办</c:v>
                      </c:pt>
                      <c:pt idx="4">
                        <c:v>人力资源部</c:v>
                      </c:pt>
                      <c:pt idx="9">
                        <c:v>行政部</c:v>
                      </c:pt>
                      <c:pt idx="14">
                        <c:v>财务部</c:v>
                      </c:pt>
                      <c:pt idx="20">
                        <c:v>销售部</c:v>
                      </c:pt>
                      <c:pt idx="26">
                        <c:v>采购部</c:v>
                      </c:pt>
                      <c:pt idx="30">
                        <c:v>技术部</c:v>
                      </c:pt>
                      <c:pt idx="36">
                        <c:v>市场部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0.00645161290322581,0.0193548387096774,0.0129032258064516,0.0387096774193548,0.00645161290322581,0.0129032258064516,0.0193548387096774,0.0129032258064516,0.0516129032258065,0.00645161290322581,0.0129032258064516,0.0193548387096774,0.0258064516129032,0.0129032258064516,0.0774193548387097,0.00645161290322581,0.0129032258064516,0.0193548387096774,0.0193548387096774,0.0580645161290323,0.00645161290322581,0.032258064516129,0.161290322580645,0.129032258064516,0.329032258064516,0.00645161290322581,0.0193548387096774,0.0967741935483871,0.0774193548387097,0.2,0.00645161290322581,0.0129032258064516,0.0129032258064516,0.0129032258064516,0.0451612903225806,0.00645161290322581,0.0387096774193548,0.0774193548387097,0.0774193548387097,0.2}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0.00645161290322581</c:v>
                      </c:pt>
                      <c:pt idx="1">
                        <c:v>0.0193548387096774</c:v>
                      </c:pt>
                      <c:pt idx="2">
                        <c:v>0.0129032258064516</c:v>
                      </c:pt>
                      <c:pt idx="3">
                        <c:v>0.0387096774193548</c:v>
                      </c:pt>
                      <c:pt idx="4">
                        <c:v>0.00645161290322581</c:v>
                      </c:pt>
                      <c:pt idx="5">
                        <c:v>0.0129032258064516</c:v>
                      </c:pt>
                      <c:pt idx="6">
                        <c:v>0.0193548387096774</c:v>
                      </c:pt>
                      <c:pt idx="7">
                        <c:v>0.0129032258064516</c:v>
                      </c:pt>
                      <c:pt idx="8">
                        <c:v>0.0516129032258065</c:v>
                      </c:pt>
                      <c:pt idx="9">
                        <c:v>0.00645161290322581</c:v>
                      </c:pt>
                      <c:pt idx="10">
                        <c:v>0.0129032258064516</c:v>
                      </c:pt>
                      <c:pt idx="11">
                        <c:v>0.0193548387096774</c:v>
                      </c:pt>
                      <c:pt idx="12">
                        <c:v>0.0258064516129032</c:v>
                      </c:pt>
                      <c:pt idx="13">
                        <c:v>0.0129032258064516</c:v>
                      </c:pt>
                      <c:pt idx="14">
                        <c:v>0.0774193548387097</c:v>
                      </c:pt>
                      <c:pt idx="15">
                        <c:v>0.00645161290322581</c:v>
                      </c:pt>
                      <c:pt idx="16">
                        <c:v>0.0129032258064516</c:v>
                      </c:pt>
                      <c:pt idx="17">
                        <c:v>0.0193548387096774</c:v>
                      </c:pt>
                      <c:pt idx="18">
                        <c:v>0.0193548387096774</c:v>
                      </c:pt>
                      <c:pt idx="19">
                        <c:v>0.0580645161290323</c:v>
                      </c:pt>
                      <c:pt idx="20">
                        <c:v>0.00645161290322581</c:v>
                      </c:pt>
                      <c:pt idx="21">
                        <c:v>0.032258064516129</c:v>
                      </c:pt>
                      <c:pt idx="22">
                        <c:v>0.161290322580645</c:v>
                      </c:pt>
                      <c:pt idx="23">
                        <c:v>0.129032258064516</c:v>
                      </c:pt>
                      <c:pt idx="24">
                        <c:v>0.329032258064516</c:v>
                      </c:pt>
                      <c:pt idx="25">
                        <c:v>0.00645161290322581</c:v>
                      </c:pt>
                      <c:pt idx="26">
                        <c:v>0.0193548387096774</c:v>
                      </c:pt>
                      <c:pt idx="27">
                        <c:v>0.0967741935483871</c:v>
                      </c:pt>
                      <c:pt idx="28">
                        <c:v>0.0774193548387097</c:v>
                      </c:pt>
                      <c:pt idx="29">
                        <c:v>0.2</c:v>
                      </c:pt>
                      <c:pt idx="30">
                        <c:v>0.00645161290322581</c:v>
                      </c:pt>
                      <c:pt idx="31">
                        <c:v>0.0129032258064516</c:v>
                      </c:pt>
                      <c:pt idx="32">
                        <c:v>0.0129032258064516</c:v>
                      </c:pt>
                      <c:pt idx="33">
                        <c:v>0.0129032258064516</c:v>
                      </c:pt>
                      <c:pt idx="34">
                        <c:v>0.0451612903225806</c:v>
                      </c:pt>
                      <c:pt idx="35">
                        <c:v>0.00645161290322581</c:v>
                      </c:pt>
                      <c:pt idx="36">
                        <c:v>0.0387096774193548</c:v>
                      </c:pt>
                      <c:pt idx="37">
                        <c:v>0.0774193548387097</c:v>
                      </c:pt>
                      <c:pt idx="38">
                        <c:v>0.0774193548387097</c:v>
                      </c:pt>
                      <c:pt idx="39">
                        <c:v>0.2</c:v>
                      </c:pt>
                    </c:numCache>
                  </c:numRef>
                </c:val>
              </c15:ser>
            </c15:filteredAreaSeries>
            <c15:filteredArea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hade val="51000"/>
                          <a:satMod val="130000"/>
                        </a:schemeClr>
                      </a:gs>
                      <a:gs pos="80000">
                        <a:schemeClr val="accent3">
                          <a:shade val="93000"/>
                          <a:satMod val="130000"/>
                        </a:schemeClr>
                      </a:gs>
                      <a:gs pos="100000">
                        <a:schemeClr val="accent3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'2025年度人员编制增减表（扩员版）'!$B$7:$B$46</c15:sqref>
                        </c15:formulaRef>
                      </c:ext>
                    </c:extLst>
                    <c:strCache>
                      <c:ptCount val="40"/>
                      <c:pt idx="0">
                        <c:v>总经办</c:v>
                      </c:pt>
                      <c:pt idx="4">
                        <c:v>人力资源部</c:v>
                      </c:pt>
                      <c:pt idx="9">
                        <c:v>行政部</c:v>
                      </c:pt>
                      <c:pt idx="14">
                        <c:v>财务部</c:v>
                      </c:pt>
                      <c:pt idx="20">
                        <c:v>销售部</c:v>
                      </c:pt>
                      <c:pt idx="26">
                        <c:v>采购部</c:v>
                      </c:pt>
                      <c:pt idx="30">
                        <c:v>技术部</c:v>
                      </c:pt>
                      <c:pt idx="36">
                        <c:v>市场部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</c15:ser>
            </c15:filteredAreaSeries>
            <c15:filteredArea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hade val="51000"/>
                          <a:satMod val="130000"/>
                        </a:schemeClr>
                      </a:gs>
                      <a:gs pos="80000">
                        <a:schemeClr val="accent5">
                          <a:shade val="93000"/>
                          <a:satMod val="130000"/>
                        </a:schemeClr>
                      </a:gs>
                      <a:gs pos="100000">
                        <a:schemeClr val="accent5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'2025年度人员编制增减表（扩员版）'!$B$7:$B$46</c15:sqref>
                        </c15:formulaRef>
                      </c:ext>
                    </c:extLst>
                    <c:strCache>
                      <c:ptCount val="40"/>
                      <c:pt idx="0">
                        <c:v>总经办</c:v>
                      </c:pt>
                      <c:pt idx="4">
                        <c:v>人力资源部</c:v>
                      </c:pt>
                      <c:pt idx="9">
                        <c:v>行政部</c:v>
                      </c:pt>
                      <c:pt idx="14">
                        <c:v>财务部</c:v>
                      </c:pt>
                      <c:pt idx="20">
                        <c:v>销售部</c:v>
                      </c:pt>
                      <c:pt idx="26">
                        <c:v>采购部</c:v>
                      </c:pt>
                      <c:pt idx="30">
                        <c:v>技术部</c:v>
                      </c:pt>
                      <c:pt idx="36">
                        <c:v>市场部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</c15:ser>
            </c15:filteredAreaSeries>
            <c15:filteredArea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'2025年度人员编制增减表（扩员版）'!$H$4:$H$5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hade val="51000"/>
                          <a:satMod val="130000"/>
                        </a:schemeClr>
                      </a:gs>
                      <a:gs pos="80000">
                        <a:schemeClr val="accent6">
                          <a:shade val="93000"/>
                          <a:satMod val="130000"/>
                        </a:schemeClr>
                      </a:gs>
                      <a:gs pos="100000">
                        <a:schemeClr val="accent6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'2025年度人员编制增减表（扩员版）'!$B$7:$B$46</c15:sqref>
                        </c15:formulaRef>
                      </c:ext>
                    </c:extLst>
                    <c:strCache>
                      <c:ptCount val="40"/>
                      <c:pt idx="0">
                        <c:v>总经办</c:v>
                      </c:pt>
                      <c:pt idx="4">
                        <c:v>人力资源部</c:v>
                      </c:pt>
                      <c:pt idx="9">
                        <c:v>行政部</c:v>
                      </c:pt>
                      <c:pt idx="14">
                        <c:v>财务部</c:v>
                      </c:pt>
                      <c:pt idx="20">
                        <c:v>销售部</c:v>
                      </c:pt>
                      <c:pt idx="26">
                        <c:v>采购部</c:v>
                      </c:pt>
                      <c:pt idx="30">
                        <c:v>技术部</c:v>
                      </c:pt>
                      <c:pt idx="36">
                        <c:v>市场部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0.00543478260869565,0.0217391304347826,0.0108695652173913,0.0380434782608696,0.00543478260869565,0.016304347826087,0.0217391304347826,0.016304347826087,0.0597826086956522,0.00543478260869565,0.016304347826087,0.016304347826087,0.0217391304347826,0.0108695652173913,0.0706521739130435,0.00543478260869565,0.016304347826087,0.0217391304347826,0.016304347826087,0.0597826086956522,0.00543478260869565,0.0326086956521739,0.16304347826087,0.135869565217391,0.33695652173913,0.00543478260869565,0.0217391304347826,0.0923913043478261,0.0652173913043478,0.184782608695652,0.00543478260869565,0.016304347826087,0.016304347826087,0.0108695652173913,0.0489130434782609,0.00543478260869565,0.0380434782608696,0.0815217391304348,0.0760869565217391,0.201086956521739}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0.00543478260869565</c:v>
                      </c:pt>
                      <c:pt idx="1">
                        <c:v>0.0217391304347826</c:v>
                      </c:pt>
                      <c:pt idx="2">
                        <c:v>0.0108695652173913</c:v>
                      </c:pt>
                      <c:pt idx="3">
                        <c:v>0.0380434782608696</c:v>
                      </c:pt>
                      <c:pt idx="4">
                        <c:v>0.00543478260869565</c:v>
                      </c:pt>
                      <c:pt idx="5">
                        <c:v>0.016304347826087</c:v>
                      </c:pt>
                      <c:pt idx="6">
                        <c:v>0.0217391304347826</c:v>
                      </c:pt>
                      <c:pt idx="7">
                        <c:v>0.016304347826087</c:v>
                      </c:pt>
                      <c:pt idx="8">
                        <c:v>0.0597826086956522</c:v>
                      </c:pt>
                      <c:pt idx="9">
                        <c:v>0.00543478260869565</c:v>
                      </c:pt>
                      <c:pt idx="10">
                        <c:v>0.016304347826087</c:v>
                      </c:pt>
                      <c:pt idx="11">
                        <c:v>0.016304347826087</c:v>
                      </c:pt>
                      <c:pt idx="12">
                        <c:v>0.0217391304347826</c:v>
                      </c:pt>
                      <c:pt idx="13">
                        <c:v>0.0108695652173913</c:v>
                      </c:pt>
                      <c:pt idx="14">
                        <c:v>0.0706521739130435</c:v>
                      </c:pt>
                      <c:pt idx="15">
                        <c:v>0.00543478260869565</c:v>
                      </c:pt>
                      <c:pt idx="16">
                        <c:v>0.016304347826087</c:v>
                      </c:pt>
                      <c:pt idx="17">
                        <c:v>0.0217391304347826</c:v>
                      </c:pt>
                      <c:pt idx="18">
                        <c:v>0.016304347826087</c:v>
                      </c:pt>
                      <c:pt idx="19">
                        <c:v>0.0597826086956522</c:v>
                      </c:pt>
                      <c:pt idx="20">
                        <c:v>0.00543478260869565</c:v>
                      </c:pt>
                      <c:pt idx="21">
                        <c:v>0.0326086956521739</c:v>
                      </c:pt>
                      <c:pt idx="22">
                        <c:v>0.16304347826087</c:v>
                      </c:pt>
                      <c:pt idx="23">
                        <c:v>0.135869565217391</c:v>
                      </c:pt>
                      <c:pt idx="24">
                        <c:v>0.33695652173913</c:v>
                      </c:pt>
                      <c:pt idx="25">
                        <c:v>0.00543478260869565</c:v>
                      </c:pt>
                      <c:pt idx="26">
                        <c:v>0.0217391304347826</c:v>
                      </c:pt>
                      <c:pt idx="27">
                        <c:v>0.0923913043478261</c:v>
                      </c:pt>
                      <c:pt idx="28">
                        <c:v>0.0652173913043478</c:v>
                      </c:pt>
                      <c:pt idx="29">
                        <c:v>0.184782608695652</c:v>
                      </c:pt>
                      <c:pt idx="30">
                        <c:v>0.00543478260869565</c:v>
                      </c:pt>
                      <c:pt idx="31">
                        <c:v>0.016304347826087</c:v>
                      </c:pt>
                      <c:pt idx="32">
                        <c:v>0.016304347826087</c:v>
                      </c:pt>
                      <c:pt idx="33">
                        <c:v>0.0108695652173913</c:v>
                      </c:pt>
                      <c:pt idx="34">
                        <c:v>0.0489130434782609</c:v>
                      </c:pt>
                      <c:pt idx="35">
                        <c:v>0.00543478260869565</c:v>
                      </c:pt>
                      <c:pt idx="36">
                        <c:v>0.0380434782608696</c:v>
                      </c:pt>
                      <c:pt idx="37">
                        <c:v>0.0815217391304348</c:v>
                      </c:pt>
                      <c:pt idx="38">
                        <c:v>0.0760869565217391</c:v>
                      </c:pt>
                      <c:pt idx="39">
                        <c:v>0.201086956521739</c:v>
                      </c:pt>
                    </c:numCache>
                  </c:numRef>
                </c:val>
              </c15:ser>
            </c15:filteredAreaSeries>
            <c15:filteredArea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shade val="51000"/>
                          <a:satMod val="130000"/>
                        </a:schemeClr>
                      </a:gs>
                      <a:gs pos="80000">
                        <a:schemeClr val="accent2">
                          <a:lumMod val="60000"/>
                          <a:shade val="93000"/>
                          <a:satMod val="130000"/>
                        </a:schemeClr>
                      </a:gs>
                      <a:gs pos="100000">
                        <a:schemeClr val="accent2">
                          <a:lumMod val="60000"/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'2025年度人员编制增减表（扩员版）'!$B$7:$B$46</c15:sqref>
                        </c15:formulaRef>
                      </c:ext>
                    </c:extLst>
                    <c:strCache>
                      <c:ptCount val="40"/>
                      <c:pt idx="0">
                        <c:v>总经办</c:v>
                      </c:pt>
                      <c:pt idx="4">
                        <c:v>人力资源部</c:v>
                      </c:pt>
                      <c:pt idx="9">
                        <c:v>行政部</c:v>
                      </c:pt>
                      <c:pt idx="14">
                        <c:v>财务部</c:v>
                      </c:pt>
                      <c:pt idx="20">
                        <c:v>销售部</c:v>
                      </c:pt>
                      <c:pt idx="26">
                        <c:v>采购部</c:v>
                      </c:pt>
                      <c:pt idx="30">
                        <c:v>技术部</c:v>
                      </c:pt>
                      <c:pt idx="36">
                        <c:v>市场部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</c15:ser>
            </c15:filteredAreaSeries>
            <c15:filteredAreaSeries>
              <c15:ser>
                <c:idx val="8"/>
                <c:order val="8"/>
                <c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lumMod val="60000"/>
                          <a:shade val="51000"/>
                          <a:satMod val="130000"/>
                        </a:schemeClr>
                      </a:gs>
                      <a:gs pos="80000">
                        <a:schemeClr val="accent3">
                          <a:lumMod val="60000"/>
                          <a:shade val="93000"/>
                          <a:satMod val="130000"/>
                        </a:schemeClr>
                      </a:gs>
                      <a:gs pos="100000">
                        <a:schemeClr val="accent3">
                          <a:lumMod val="60000"/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'2025年度人员编制增减表（扩员版）'!$B$7:$B$46</c15:sqref>
                        </c15:formulaRef>
                      </c:ext>
                    </c:extLst>
                    <c:strCache>
                      <c:ptCount val="40"/>
                      <c:pt idx="0">
                        <c:v>总经办</c:v>
                      </c:pt>
                      <c:pt idx="4">
                        <c:v>人力资源部</c:v>
                      </c:pt>
                      <c:pt idx="9">
                        <c:v>行政部</c:v>
                      </c:pt>
                      <c:pt idx="14">
                        <c:v>财务部</c:v>
                      </c:pt>
                      <c:pt idx="20">
                        <c:v>销售部</c:v>
                      </c:pt>
                      <c:pt idx="26">
                        <c:v>采购部</c:v>
                      </c:pt>
                      <c:pt idx="30">
                        <c:v>技术部</c:v>
                      </c:pt>
                      <c:pt idx="36">
                        <c:v>市场部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</c15:ser>
            </c15:filteredAreaSeries>
            <c15:filteredAreaSeries>
              <c15:ser>
                <c:idx val="10"/>
                <c:order val="10"/>
                <c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lumMod val="60000"/>
                          <a:shade val="51000"/>
                          <a:satMod val="130000"/>
                        </a:schemeClr>
                      </a:gs>
                      <a:gs pos="80000">
                        <a:schemeClr val="accent5">
                          <a:lumMod val="60000"/>
                          <a:shade val="93000"/>
                          <a:satMod val="130000"/>
                        </a:schemeClr>
                      </a:gs>
                      <a:gs pos="100000">
                        <a:schemeClr val="accent5">
                          <a:lumMod val="60000"/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'2025年度人员编制增减表（扩员版）'!$B$7:$B$46</c15:sqref>
                        </c15:formulaRef>
                      </c:ext>
                    </c:extLst>
                    <c:strCache>
                      <c:ptCount val="40"/>
                      <c:pt idx="0">
                        <c:v>总经办</c:v>
                      </c:pt>
                      <c:pt idx="4">
                        <c:v>人力资源部</c:v>
                      </c:pt>
                      <c:pt idx="9">
                        <c:v>行政部</c:v>
                      </c:pt>
                      <c:pt idx="14">
                        <c:v>财务部</c:v>
                      </c:pt>
                      <c:pt idx="20">
                        <c:v>销售部</c:v>
                      </c:pt>
                      <c:pt idx="26">
                        <c:v>采购部</c:v>
                      </c:pt>
                      <c:pt idx="30">
                        <c:v>技术部</c:v>
                      </c:pt>
                      <c:pt idx="36">
                        <c:v>市场部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</c15:ser>
            </c15:filteredAreaSeries>
            <c15:filteredAreaSeries>
              <c15:ser>
                <c:idx val="11"/>
                <c:order val="11"/>
                <c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lumMod val="60000"/>
                          <a:shade val="51000"/>
                          <a:satMod val="130000"/>
                        </a:schemeClr>
                      </a:gs>
                      <a:gs pos="80000">
                        <a:schemeClr val="accent6">
                          <a:lumMod val="60000"/>
                          <a:shade val="93000"/>
                          <a:satMod val="130000"/>
                        </a:schemeClr>
                      </a:gs>
                      <a:gs pos="100000">
                        <a:schemeClr val="accent6">
                          <a:lumMod val="60000"/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'2025年度人员编制增减表（扩员版）'!$B$7:$B$46</c15:sqref>
                        </c15:formulaRef>
                      </c:ext>
                    </c:extLst>
                    <c:strCache>
                      <c:ptCount val="40"/>
                      <c:pt idx="0">
                        <c:v>总经办</c:v>
                      </c:pt>
                      <c:pt idx="4">
                        <c:v>人力资源部</c:v>
                      </c:pt>
                      <c:pt idx="9">
                        <c:v>行政部</c:v>
                      </c:pt>
                      <c:pt idx="14">
                        <c:v>财务部</c:v>
                      </c:pt>
                      <c:pt idx="20">
                        <c:v>销售部</c:v>
                      </c:pt>
                      <c:pt idx="26">
                        <c:v>采购部</c:v>
                      </c:pt>
                      <c:pt idx="30">
                        <c:v>技术部</c:v>
                      </c:pt>
                      <c:pt idx="36">
                        <c:v>市场部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</c15:ser>
            </c15:filteredAreaSeries>
            <c15:filteredAreaSeries>
              <c15:ser>
                <c:idx val="13"/>
                <c:order val="13"/>
                <c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80000"/>
                          <a:lumOff val="20000"/>
                          <a:shade val="51000"/>
                          <a:satMod val="130000"/>
                        </a:schemeClr>
                      </a:gs>
                      <a:gs pos="80000">
                        <a:schemeClr val="accent2">
                          <a:lumMod val="80000"/>
                          <a:lumOff val="20000"/>
                          <a:shade val="93000"/>
                          <a:satMod val="130000"/>
                        </a:schemeClr>
                      </a:gs>
                      <a:gs pos="100000">
                        <a:schemeClr val="accent2">
                          <a:lumMod val="80000"/>
                          <a:lumOff val="20000"/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'2025年度人员编制增减表（扩员版）'!$B$7:$B$46</c15:sqref>
                        </c15:formulaRef>
                      </c:ext>
                    </c:extLst>
                    <c:strCache>
                      <c:ptCount val="40"/>
                      <c:pt idx="0">
                        <c:v>总经办</c:v>
                      </c:pt>
                      <c:pt idx="4">
                        <c:v>人力资源部</c:v>
                      </c:pt>
                      <c:pt idx="9">
                        <c:v>行政部</c:v>
                      </c:pt>
                      <c:pt idx="14">
                        <c:v>财务部</c:v>
                      </c:pt>
                      <c:pt idx="20">
                        <c:v>销售部</c:v>
                      </c:pt>
                      <c:pt idx="26">
                        <c:v>采购部</c:v>
                      </c:pt>
                      <c:pt idx="30">
                        <c:v>技术部</c:v>
                      </c:pt>
                      <c:pt idx="36">
                        <c:v>市场部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</c15:ser>
            </c15:filteredAreaSeries>
            <c15:filteredAreaSeries>
              <c15:ser>
                <c:idx val="14"/>
                <c:order val="14"/>
                <c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lumMod val="80000"/>
                          <a:lumOff val="20000"/>
                          <a:shade val="51000"/>
                          <a:satMod val="130000"/>
                        </a:schemeClr>
                      </a:gs>
                      <a:gs pos="80000">
                        <a:schemeClr val="accent3">
                          <a:lumMod val="80000"/>
                          <a:lumOff val="20000"/>
                          <a:shade val="93000"/>
                          <a:satMod val="130000"/>
                        </a:schemeClr>
                      </a:gs>
                      <a:gs pos="100000">
                        <a:schemeClr val="accent3">
                          <a:lumMod val="80000"/>
                          <a:lumOff val="20000"/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'2025年度人员编制增减表（扩员版）'!$B$7:$B$46</c15:sqref>
                        </c15:formulaRef>
                      </c:ext>
                    </c:extLst>
                    <c:strCache>
                      <c:ptCount val="40"/>
                      <c:pt idx="0">
                        <c:v>总经办</c:v>
                      </c:pt>
                      <c:pt idx="4">
                        <c:v>人力资源部</c:v>
                      </c:pt>
                      <c:pt idx="9">
                        <c:v>行政部</c:v>
                      </c:pt>
                      <c:pt idx="14">
                        <c:v>财务部</c:v>
                      </c:pt>
                      <c:pt idx="20">
                        <c:v>销售部</c:v>
                      </c:pt>
                      <c:pt idx="26">
                        <c:v>采购部</c:v>
                      </c:pt>
                      <c:pt idx="30">
                        <c:v>技术部</c:v>
                      </c:pt>
                      <c:pt idx="36">
                        <c:v>市场部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</c15:ser>
            </c15:filteredAreaSeries>
            <c15:filteredAreaSeries>
              <c15:ser>
                <c:idx val="16"/>
                <c:order val="16"/>
                <c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lumMod val="80000"/>
                          <a:lumOff val="20000"/>
                          <a:shade val="51000"/>
                          <a:satMod val="130000"/>
                        </a:schemeClr>
                      </a:gs>
                      <a:gs pos="80000">
                        <a:schemeClr val="accent5">
                          <a:lumMod val="80000"/>
                          <a:lumOff val="20000"/>
                          <a:shade val="93000"/>
                          <a:satMod val="130000"/>
                        </a:schemeClr>
                      </a:gs>
                      <a:gs pos="100000">
                        <a:schemeClr val="accent5">
                          <a:lumMod val="80000"/>
                          <a:lumOff val="20000"/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'2025年度人员编制增减表（扩员版）'!$B$7:$B$46</c15:sqref>
                        </c15:formulaRef>
                      </c:ext>
                    </c:extLst>
                    <c:strCache>
                      <c:ptCount val="40"/>
                      <c:pt idx="0">
                        <c:v>总经办</c:v>
                      </c:pt>
                      <c:pt idx="4">
                        <c:v>人力资源部</c:v>
                      </c:pt>
                      <c:pt idx="9">
                        <c:v>行政部</c:v>
                      </c:pt>
                      <c:pt idx="14">
                        <c:v>财务部</c:v>
                      </c:pt>
                      <c:pt idx="20">
                        <c:v>销售部</c:v>
                      </c:pt>
                      <c:pt idx="26">
                        <c:v>采购部</c:v>
                      </c:pt>
                      <c:pt idx="30">
                        <c:v>技术部</c:v>
                      </c:pt>
                      <c:pt idx="36">
                        <c:v>市场部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</c15:ser>
            </c15:filteredAreaSeries>
            <c15:filteredAreaSeries>
              <c15:ser>
                <c:idx val="17"/>
                <c:order val="17"/>
                <c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lumMod val="80000"/>
                          <a:lumOff val="20000"/>
                          <a:shade val="51000"/>
                          <a:satMod val="130000"/>
                        </a:schemeClr>
                      </a:gs>
                      <a:gs pos="80000">
                        <a:schemeClr val="accent6">
                          <a:lumMod val="80000"/>
                          <a:lumOff val="20000"/>
                          <a:shade val="93000"/>
                          <a:satMod val="130000"/>
                        </a:schemeClr>
                      </a:gs>
                      <a:gs pos="100000">
                        <a:schemeClr val="accent6">
                          <a:lumMod val="80000"/>
                          <a:lumOff val="20000"/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'2025年度人员编制增减表（扩员版）'!$B$7:$B$46</c15:sqref>
                        </c15:formulaRef>
                      </c:ext>
                    </c:extLst>
                    <c:strCache>
                      <c:ptCount val="40"/>
                      <c:pt idx="0">
                        <c:v>总经办</c:v>
                      </c:pt>
                      <c:pt idx="4">
                        <c:v>人力资源部</c:v>
                      </c:pt>
                      <c:pt idx="9">
                        <c:v>行政部</c:v>
                      </c:pt>
                      <c:pt idx="14">
                        <c:v>财务部</c:v>
                      </c:pt>
                      <c:pt idx="20">
                        <c:v>销售部</c:v>
                      </c:pt>
                      <c:pt idx="26">
                        <c:v>采购部</c:v>
                      </c:pt>
                      <c:pt idx="30">
                        <c:v>技术部</c:v>
                      </c:pt>
                      <c:pt idx="36">
                        <c:v>市场部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</c15:ser>
            </c15:filteredAreaSeries>
          </c:ext>
        </c:extLst>
      </c:areaChart>
      <c:lineChart>
        <c:grouping val="standard"/>
        <c:varyColors val="0"/>
        <c:ser>
          <c:idx val="15"/>
          <c:order val="15"/>
          <c:tx>
            <c:strRef>
              <c:f>#REF!</c:f>
              <c:strCache>
                <c:ptCount val="1"/>
                <c:pt idx="0">
                  <c:v/>
                </c:pt>
              </c:strCache>
            </c:strRef>
          </c:tx>
          <c:spPr>
            <a:ln w="34925" cap="rnd">
              <a:solidFill>
                <a:schemeClr val="accent4">
                  <a:lumMod val="20000"/>
                  <a:lumOff val="8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7"/>
            <c:spPr>
              <a:solidFill>
                <a:schemeClr val="bg2"/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'2025年度人员编制增减表（扩员版）'!$B$7:$B$46</c:f>
              <c:strCache>
                <c:ptCount val="40"/>
                <c:pt idx="0">
                  <c:v>总经办</c:v>
                </c:pt>
                <c:pt idx="4">
                  <c:v>人力资源部</c:v>
                </c:pt>
                <c:pt idx="9">
                  <c:v>行政部</c:v>
                </c:pt>
                <c:pt idx="14">
                  <c:v>财务部</c:v>
                </c:pt>
                <c:pt idx="20">
                  <c:v>销售部</c:v>
                </c:pt>
                <c:pt idx="26">
                  <c:v>采购部</c:v>
                </c:pt>
                <c:pt idx="30">
                  <c:v>技术部</c:v>
                </c:pt>
                <c:pt idx="36">
                  <c:v>市场部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7679823"/>
        <c:axId val="687823428"/>
      </c:lineChart>
      <c:catAx>
        <c:axId val="1476798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7823428"/>
        <c:crosses val="autoZero"/>
        <c:auto val="1"/>
        <c:lblAlgn val="ctr"/>
        <c:lblOffset val="100"/>
        <c:noMultiLvlLbl val="0"/>
      </c:catAx>
      <c:valAx>
        <c:axId val="6878234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7679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100ec33-7c94-4597-bdcc-141dd05f8fb0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</a:gradFill>
    <a:ln>
      <a:noFill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sz="1200" b="1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各部门不同职位人数分析</a:t>
            </a:r>
            <a:endParaRPr sz="1200" b="1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'2025年度人员编制增减表（裁员版）'!$E$4:$E$5</c:f>
              <c:strCache>
                <c:ptCount val="1"/>
                <c:pt idx="0">
                  <c:v>目前 人数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dLbls>
            <c:delete val="1"/>
          </c:dLbls>
          <c:cat>
            <c:strRef>
              <c:f>'2025年度人员编制增减表（裁员版）'!$B$7:$B$46</c:f>
              <c:strCache>
                <c:ptCount val="40"/>
                <c:pt idx="0">
                  <c:v>总经办</c:v>
                </c:pt>
                <c:pt idx="4">
                  <c:v>人力资源部</c:v>
                </c:pt>
                <c:pt idx="9">
                  <c:v>行政部</c:v>
                </c:pt>
                <c:pt idx="14">
                  <c:v>财务部</c:v>
                </c:pt>
                <c:pt idx="20">
                  <c:v>销售部</c:v>
                </c:pt>
                <c:pt idx="26">
                  <c:v>采购部</c:v>
                </c:pt>
                <c:pt idx="30">
                  <c:v>技术部</c:v>
                </c:pt>
                <c:pt idx="36">
                  <c:v>市场部</c:v>
                </c:pt>
              </c:strCache>
            </c:strRef>
          </c:cat>
          <c:val>
            <c:numRef>
              <c:f>'2025年度人员编制增减表（裁员版）'!$E$7:$E$46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1</c:v>
                </c:pt>
                <c:pt idx="5">
                  <c:v>1</c:v>
                </c:pt>
                <c:pt idx="6">
                  <c:v>7</c:v>
                </c:pt>
                <c:pt idx="7">
                  <c:v>4</c:v>
                </c:pt>
                <c:pt idx="8">
                  <c:v>13</c:v>
                </c:pt>
                <c:pt idx="9">
                  <c:v>1</c:v>
                </c:pt>
                <c:pt idx="10">
                  <c:v>1</c:v>
                </c:pt>
                <c:pt idx="11">
                  <c:v>6</c:v>
                </c:pt>
                <c:pt idx="12">
                  <c:v>2</c:v>
                </c:pt>
                <c:pt idx="13">
                  <c:v>10</c:v>
                </c:pt>
                <c:pt idx="14">
                  <c:v>1</c:v>
                </c:pt>
                <c:pt idx="15">
                  <c:v>1</c:v>
                </c:pt>
                <c:pt idx="16">
                  <c:v>3</c:v>
                </c:pt>
                <c:pt idx="17">
                  <c:v>8</c:v>
                </c:pt>
                <c:pt idx="18">
                  <c:v>4</c:v>
                </c:pt>
                <c:pt idx="19">
                  <c:v>17</c:v>
                </c:pt>
                <c:pt idx="20">
                  <c:v>1</c:v>
                </c:pt>
                <c:pt idx="21">
                  <c:v>4</c:v>
                </c:pt>
                <c:pt idx="22">
                  <c:v>12</c:v>
                </c:pt>
                <c:pt idx="23">
                  <c:v>95</c:v>
                </c:pt>
                <c:pt idx="24">
                  <c:v>23</c:v>
                </c:pt>
                <c:pt idx="25">
                  <c:v>135</c:v>
                </c:pt>
                <c:pt idx="26">
                  <c:v>1</c:v>
                </c:pt>
                <c:pt idx="27">
                  <c:v>2</c:v>
                </c:pt>
                <c:pt idx="28">
                  <c:v>11</c:v>
                </c:pt>
                <c:pt idx="29">
                  <c:v>14</c:v>
                </c:pt>
                <c:pt idx="30">
                  <c:v>1</c:v>
                </c:pt>
                <c:pt idx="31">
                  <c:v>4</c:v>
                </c:pt>
                <c:pt idx="32">
                  <c:v>12</c:v>
                </c:pt>
                <c:pt idx="33">
                  <c:v>58</c:v>
                </c:pt>
                <c:pt idx="34">
                  <c:v>37</c:v>
                </c:pt>
                <c:pt idx="35">
                  <c:v>112</c:v>
                </c:pt>
                <c:pt idx="36">
                  <c:v>1</c:v>
                </c:pt>
                <c:pt idx="37">
                  <c:v>1</c:v>
                </c:pt>
                <c:pt idx="38">
                  <c:v>12</c:v>
                </c:pt>
                <c:pt idx="39">
                  <c:v>14</c:v>
                </c:pt>
              </c:numCache>
            </c:numRef>
          </c:val>
        </c:ser>
        <c:ser>
          <c:idx val="3"/>
          <c:order val="3"/>
          <c:tx>
            <c:strRef>
              <c:f>'2025年度人员编制增减表（裁员版）'!$G$4:$G$5</c:f>
              <c:strCache>
                <c:ptCount val="1"/>
                <c:pt idx="0">
                  <c:v>2025年计划 人数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dLbls>
            <c:delete val="1"/>
          </c:dLbls>
          <c:cat>
            <c:strRef>
              <c:f>'2025年度人员编制增减表（裁员版）'!$B$7:$B$46</c:f>
              <c:strCache>
                <c:ptCount val="40"/>
                <c:pt idx="0">
                  <c:v>总经办</c:v>
                </c:pt>
                <c:pt idx="4">
                  <c:v>人力资源部</c:v>
                </c:pt>
                <c:pt idx="9">
                  <c:v>行政部</c:v>
                </c:pt>
                <c:pt idx="14">
                  <c:v>财务部</c:v>
                </c:pt>
                <c:pt idx="20">
                  <c:v>销售部</c:v>
                </c:pt>
                <c:pt idx="26">
                  <c:v>采购部</c:v>
                </c:pt>
                <c:pt idx="30">
                  <c:v>技术部</c:v>
                </c:pt>
                <c:pt idx="36">
                  <c:v>市场部</c:v>
                </c:pt>
              </c:strCache>
            </c:strRef>
          </c:cat>
          <c:val>
            <c:numRef>
              <c:f>'2025年度人员编制增减表（裁员版）'!$G$7:$G$46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5</c:v>
                </c:pt>
                <c:pt idx="4">
                  <c:v>1</c:v>
                </c:pt>
                <c:pt idx="5">
                  <c:v>1</c:v>
                </c:pt>
                <c:pt idx="6">
                  <c:v>5</c:v>
                </c:pt>
                <c:pt idx="7">
                  <c:v>2</c:v>
                </c:pt>
                <c:pt idx="8">
                  <c:v>9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1</c:v>
                </c:pt>
                <c:pt idx="13">
                  <c:v>6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6</c:v>
                </c:pt>
                <c:pt idx="18">
                  <c:v>2</c:v>
                </c:pt>
                <c:pt idx="19">
                  <c:v>12</c:v>
                </c:pt>
                <c:pt idx="20">
                  <c:v>1</c:v>
                </c:pt>
                <c:pt idx="21">
                  <c:v>2</c:v>
                </c:pt>
                <c:pt idx="22">
                  <c:v>6</c:v>
                </c:pt>
                <c:pt idx="23">
                  <c:v>50</c:v>
                </c:pt>
                <c:pt idx="24">
                  <c:v>10</c:v>
                </c:pt>
                <c:pt idx="25">
                  <c:v>69</c:v>
                </c:pt>
                <c:pt idx="26">
                  <c:v>1</c:v>
                </c:pt>
                <c:pt idx="27">
                  <c:v>1</c:v>
                </c:pt>
                <c:pt idx="28">
                  <c:v>5</c:v>
                </c:pt>
                <c:pt idx="29">
                  <c:v>7</c:v>
                </c:pt>
                <c:pt idx="30">
                  <c:v>1</c:v>
                </c:pt>
                <c:pt idx="31">
                  <c:v>2</c:v>
                </c:pt>
                <c:pt idx="32">
                  <c:v>6</c:v>
                </c:pt>
                <c:pt idx="33">
                  <c:v>30</c:v>
                </c:pt>
                <c:pt idx="34">
                  <c:v>15</c:v>
                </c:pt>
                <c:pt idx="35">
                  <c:v>54</c:v>
                </c:pt>
                <c:pt idx="36">
                  <c:v>1</c:v>
                </c:pt>
                <c:pt idx="37">
                  <c:v>1</c:v>
                </c:pt>
                <c:pt idx="38">
                  <c:v>6</c:v>
                </c:pt>
                <c:pt idx="39">
                  <c:v>8</c:v>
                </c:pt>
              </c:numCache>
            </c:numRef>
          </c:val>
        </c:ser>
        <c:ser>
          <c:idx val="6"/>
          <c:order val="6"/>
          <c:tx>
            <c:strRef>
              <c:f>#REF!</c:f>
              <c:strCache>
                <c:ptCount val="1"/>
                <c:pt idx="0">
                  <c:v/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hade val="51000"/>
                    <a:satMod val="130000"/>
                  </a:schemeClr>
                </a:gs>
                <a:gs pos="80000">
                  <a:schemeClr val="accent1">
                    <a:lumMod val="60000"/>
                    <a:shade val="93000"/>
                    <a:satMod val="130000"/>
                  </a:schemeClr>
                </a:gs>
                <a:gs pos="100000">
                  <a:schemeClr val="accent1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dLbls>
            <c:delete val="1"/>
          </c:dLbls>
          <c:cat>
            <c:strRef>
              <c:f>'2025年度人员编制增减表（裁员版）'!$B$7:$B$46</c:f>
              <c:strCache>
                <c:ptCount val="40"/>
                <c:pt idx="0">
                  <c:v>总经办</c:v>
                </c:pt>
                <c:pt idx="4">
                  <c:v>人力资源部</c:v>
                </c:pt>
                <c:pt idx="9">
                  <c:v>行政部</c:v>
                </c:pt>
                <c:pt idx="14">
                  <c:v>财务部</c:v>
                </c:pt>
                <c:pt idx="20">
                  <c:v>销售部</c:v>
                </c:pt>
                <c:pt idx="26">
                  <c:v>采购部</c:v>
                </c:pt>
                <c:pt idx="30">
                  <c:v>技术部</c:v>
                </c:pt>
                <c:pt idx="36">
                  <c:v>市场部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9"/>
          <c:order val="9"/>
          <c:tx>
            <c:strRef>
              <c:f>#REF!</c:f>
              <c:strCache>
                <c:ptCount val="1"/>
                <c:pt idx="0">
                  <c:v/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hade val="51000"/>
                    <a:satMod val="130000"/>
                  </a:schemeClr>
                </a:gs>
                <a:gs pos="80000">
                  <a:schemeClr val="accent4">
                    <a:lumMod val="60000"/>
                    <a:shade val="93000"/>
                    <a:satMod val="130000"/>
                  </a:schemeClr>
                </a:gs>
                <a:gs pos="100000">
                  <a:schemeClr val="accent4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dLbls>
            <c:delete val="1"/>
          </c:dLbls>
          <c:cat>
            <c:strRef>
              <c:f>'2025年度人员编制增减表（裁员版）'!$B$7:$B$46</c:f>
              <c:strCache>
                <c:ptCount val="40"/>
                <c:pt idx="0">
                  <c:v>总经办</c:v>
                </c:pt>
                <c:pt idx="4">
                  <c:v>人力资源部</c:v>
                </c:pt>
                <c:pt idx="9">
                  <c:v>行政部</c:v>
                </c:pt>
                <c:pt idx="14">
                  <c:v>财务部</c:v>
                </c:pt>
                <c:pt idx="20">
                  <c:v>销售部</c:v>
                </c:pt>
                <c:pt idx="26">
                  <c:v>采购部</c:v>
                </c:pt>
                <c:pt idx="30">
                  <c:v>技术部</c:v>
                </c:pt>
                <c:pt idx="36">
                  <c:v>市场部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2"/>
          <c:order val="12"/>
          <c:tx>
            <c:strRef>
              <c:f>#REF!</c:f>
              <c:strCache>
                <c:ptCount val="1"/>
                <c:pt idx="0">
                  <c:v/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1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1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dLbls>
            <c:delete val="1"/>
          </c:dLbls>
          <c:cat>
            <c:strRef>
              <c:f>'2025年度人员编制增减表（裁员版）'!$B$7:$B$46</c:f>
              <c:strCache>
                <c:ptCount val="40"/>
                <c:pt idx="0">
                  <c:v>总经办</c:v>
                </c:pt>
                <c:pt idx="4">
                  <c:v>人力资源部</c:v>
                </c:pt>
                <c:pt idx="9">
                  <c:v>行政部</c:v>
                </c:pt>
                <c:pt idx="14">
                  <c:v>财务部</c:v>
                </c:pt>
                <c:pt idx="20">
                  <c:v>销售部</c:v>
                </c:pt>
                <c:pt idx="26">
                  <c:v>采购部</c:v>
                </c:pt>
                <c:pt idx="30">
                  <c:v>技术部</c:v>
                </c:pt>
                <c:pt idx="36">
                  <c:v>市场部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/>
              </a:solidFill>
              <a:round/>
            </a:ln>
            <a:effectLst/>
          </c:spPr>
        </c:dropLines>
        <c:axId val="147679823"/>
        <c:axId val="687823428"/>
        <c:extLst>
          <c:ext xmlns:c15="http://schemas.microsoft.com/office/drawing/2012/chart" uri="{02D57815-91ED-43cb-92C2-25804820EDAC}">
            <c15:filteredArea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'2025年度人员编制增减表（裁员版）'!$F$4:$F$5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hade val="51000"/>
                          <a:satMod val="130000"/>
                        </a:schemeClr>
                      </a:gs>
                      <a:gs pos="80000">
                        <a:schemeClr val="accent2">
                          <a:shade val="93000"/>
                          <a:satMod val="130000"/>
                        </a:schemeClr>
                      </a:gs>
                      <a:gs pos="100000">
                        <a:schemeClr val="accent2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'2025年度人员编制增减表（裁员版）'!$B$7:$B$46</c15:sqref>
                        </c15:formulaRef>
                      </c:ext>
                    </c:extLst>
                    <c:strCache>
                      <c:ptCount val="40"/>
                      <c:pt idx="0">
                        <c:v>总经办</c:v>
                      </c:pt>
                      <c:pt idx="4">
                        <c:v>人力资源部</c:v>
                      </c:pt>
                      <c:pt idx="9">
                        <c:v>行政部</c:v>
                      </c:pt>
                      <c:pt idx="14">
                        <c:v>财务部</c:v>
                      </c:pt>
                      <c:pt idx="20">
                        <c:v>销售部</c:v>
                      </c:pt>
                      <c:pt idx="26">
                        <c:v>采购部</c:v>
                      </c:pt>
                      <c:pt idx="30">
                        <c:v>技术部</c:v>
                      </c:pt>
                      <c:pt idx="36">
                        <c:v>市场部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0.006451613,0.019354839,0.012903226,0.038709677,0.006451613,0.012903226,0.019354839,0.012903226,0.051612903,0.006451613,0.012903226,0.019354839,0.025806452,0.012903226,0.077419355,0.006451613,0.012903226,0.019354839,0.019354839,0.058064516,0.006451613,0.032258065,0.161290323,0.129032258,0.329032258,0.006451613,0.019354839,0.096774194,0.077419355,0.2,0.006451613,0.012903226,0.012903226,0.012903226,0.04516129,0.006451613,0.038709677,0.077419355,0.077419355,0.2}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0.00645161290322581</c:v>
                      </c:pt>
                      <c:pt idx="1">
                        <c:v>0.0193548387096774</c:v>
                      </c:pt>
                      <c:pt idx="2">
                        <c:v>0.0129032258064516</c:v>
                      </c:pt>
                      <c:pt idx="3">
                        <c:v>0.0387096774193548</c:v>
                      </c:pt>
                      <c:pt idx="4">
                        <c:v>0.00645161290322581</c:v>
                      </c:pt>
                      <c:pt idx="5">
                        <c:v>0.0129032258064516</c:v>
                      </c:pt>
                      <c:pt idx="6">
                        <c:v>0.0193548387096774</c:v>
                      </c:pt>
                      <c:pt idx="7">
                        <c:v>0.0129032258064516</c:v>
                      </c:pt>
                      <c:pt idx="8">
                        <c:v>0.0516129032258065</c:v>
                      </c:pt>
                      <c:pt idx="9">
                        <c:v>0.00645161290322581</c:v>
                      </c:pt>
                      <c:pt idx="10">
                        <c:v>0.0129032258064516</c:v>
                      </c:pt>
                      <c:pt idx="11">
                        <c:v>0.0193548387096774</c:v>
                      </c:pt>
                      <c:pt idx="12">
                        <c:v>0.0258064516129032</c:v>
                      </c:pt>
                      <c:pt idx="13">
                        <c:v>0.0129032258064516</c:v>
                      </c:pt>
                      <c:pt idx="14">
                        <c:v>0.0774193548387097</c:v>
                      </c:pt>
                      <c:pt idx="15">
                        <c:v>0.00645161290322581</c:v>
                      </c:pt>
                      <c:pt idx="16">
                        <c:v>0.0129032258064516</c:v>
                      </c:pt>
                      <c:pt idx="17">
                        <c:v>0.0193548387096774</c:v>
                      </c:pt>
                      <c:pt idx="18">
                        <c:v>0.0193548387096774</c:v>
                      </c:pt>
                      <c:pt idx="19">
                        <c:v>0.0580645161290323</c:v>
                      </c:pt>
                      <c:pt idx="20">
                        <c:v>0.00645161290322581</c:v>
                      </c:pt>
                      <c:pt idx="21">
                        <c:v>0.032258064516129</c:v>
                      </c:pt>
                      <c:pt idx="22">
                        <c:v>0.161290322580645</c:v>
                      </c:pt>
                      <c:pt idx="23">
                        <c:v>0.129032258064516</c:v>
                      </c:pt>
                      <c:pt idx="24">
                        <c:v>0.329032258064516</c:v>
                      </c:pt>
                      <c:pt idx="25">
                        <c:v>0.00645161290322581</c:v>
                      </c:pt>
                      <c:pt idx="26">
                        <c:v>0.0193548387096774</c:v>
                      </c:pt>
                      <c:pt idx="27">
                        <c:v>0.0967741935483871</c:v>
                      </c:pt>
                      <c:pt idx="28">
                        <c:v>0.0774193548387097</c:v>
                      </c:pt>
                      <c:pt idx="29">
                        <c:v>0.2</c:v>
                      </c:pt>
                      <c:pt idx="30">
                        <c:v>0.00645161290322581</c:v>
                      </c:pt>
                      <c:pt idx="31">
                        <c:v>0.0129032258064516</c:v>
                      </c:pt>
                      <c:pt idx="32">
                        <c:v>0.0129032258064516</c:v>
                      </c:pt>
                      <c:pt idx="33">
                        <c:v>0.0129032258064516</c:v>
                      </c:pt>
                      <c:pt idx="34">
                        <c:v>0.0451612903225806</c:v>
                      </c:pt>
                      <c:pt idx="35">
                        <c:v>0.00645161290322581</c:v>
                      </c:pt>
                      <c:pt idx="36">
                        <c:v>0.0387096774193548</c:v>
                      </c:pt>
                      <c:pt idx="37">
                        <c:v>0.0774193548387097</c:v>
                      </c:pt>
                      <c:pt idx="38">
                        <c:v>0.0774193548387097</c:v>
                      </c:pt>
                      <c:pt idx="39">
                        <c:v>0.2</c:v>
                      </c:pt>
                    </c:numCache>
                  </c:numRef>
                </c:val>
              </c15:ser>
            </c15:filteredAreaSeries>
            <c15:filteredArea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hade val="51000"/>
                          <a:satMod val="130000"/>
                        </a:schemeClr>
                      </a:gs>
                      <a:gs pos="80000">
                        <a:schemeClr val="accent3">
                          <a:shade val="93000"/>
                          <a:satMod val="130000"/>
                        </a:schemeClr>
                      </a:gs>
                      <a:gs pos="100000">
                        <a:schemeClr val="accent3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'2025年度人员编制增减表（裁员版）'!$B$7:$B$46</c15:sqref>
                        </c15:formulaRef>
                      </c:ext>
                    </c:extLst>
                    <c:strCache>
                      <c:ptCount val="40"/>
                      <c:pt idx="0">
                        <c:v>总经办</c:v>
                      </c:pt>
                      <c:pt idx="4">
                        <c:v>人力资源部</c:v>
                      </c:pt>
                      <c:pt idx="9">
                        <c:v>行政部</c:v>
                      </c:pt>
                      <c:pt idx="14">
                        <c:v>财务部</c:v>
                      </c:pt>
                      <c:pt idx="20">
                        <c:v>销售部</c:v>
                      </c:pt>
                      <c:pt idx="26">
                        <c:v>采购部</c:v>
                      </c:pt>
                      <c:pt idx="30">
                        <c:v>技术部</c:v>
                      </c:pt>
                      <c:pt idx="36">
                        <c:v>市场部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</c15:ser>
            </c15:filteredAreaSeries>
            <c15:filteredArea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hade val="51000"/>
                          <a:satMod val="130000"/>
                        </a:schemeClr>
                      </a:gs>
                      <a:gs pos="80000">
                        <a:schemeClr val="accent5">
                          <a:shade val="93000"/>
                          <a:satMod val="130000"/>
                        </a:schemeClr>
                      </a:gs>
                      <a:gs pos="100000">
                        <a:schemeClr val="accent5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'2025年度人员编制增减表（裁员版）'!$B$7:$B$46</c15:sqref>
                        </c15:formulaRef>
                      </c:ext>
                    </c:extLst>
                    <c:strCache>
                      <c:ptCount val="40"/>
                      <c:pt idx="0">
                        <c:v>总经办</c:v>
                      </c:pt>
                      <c:pt idx="4">
                        <c:v>人力资源部</c:v>
                      </c:pt>
                      <c:pt idx="9">
                        <c:v>行政部</c:v>
                      </c:pt>
                      <c:pt idx="14">
                        <c:v>财务部</c:v>
                      </c:pt>
                      <c:pt idx="20">
                        <c:v>销售部</c:v>
                      </c:pt>
                      <c:pt idx="26">
                        <c:v>采购部</c:v>
                      </c:pt>
                      <c:pt idx="30">
                        <c:v>技术部</c:v>
                      </c:pt>
                      <c:pt idx="36">
                        <c:v>市场部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</c15:ser>
            </c15:filteredAreaSeries>
            <c15:filteredArea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'2025年度人员编制增减表（裁员版）'!$H$4:$H$5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hade val="51000"/>
                          <a:satMod val="130000"/>
                        </a:schemeClr>
                      </a:gs>
                      <a:gs pos="80000">
                        <a:schemeClr val="accent6">
                          <a:shade val="93000"/>
                          <a:satMod val="130000"/>
                        </a:schemeClr>
                      </a:gs>
                      <a:gs pos="100000">
                        <a:schemeClr val="accent6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'2025年度人员编制增减表（裁员版）'!$B$7:$B$46</c15:sqref>
                        </c15:formulaRef>
                      </c:ext>
                    </c:extLst>
                    <c:strCache>
                      <c:ptCount val="40"/>
                      <c:pt idx="0">
                        <c:v>总经办</c:v>
                      </c:pt>
                      <c:pt idx="4">
                        <c:v>人力资源部</c:v>
                      </c:pt>
                      <c:pt idx="9">
                        <c:v>行政部</c:v>
                      </c:pt>
                      <c:pt idx="14">
                        <c:v>财务部</c:v>
                      </c:pt>
                      <c:pt idx="20">
                        <c:v>销售部</c:v>
                      </c:pt>
                      <c:pt idx="26">
                        <c:v>采购部</c:v>
                      </c:pt>
                      <c:pt idx="30">
                        <c:v>技术部</c:v>
                      </c:pt>
                      <c:pt idx="36">
                        <c:v>市场部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0.005434783,0.02173913,0.010869565,0.038043478,0.005434783,0.016304348,0.02173913,0.016304348,0.059782609,0.005434783,0.016304348,0.016304348,0.02173913,0.010869565,0.070652174,0.005434783,0.016304348,0.02173913,0.016304348,0.059782609,0.005434783,0.032608696,0.163043478,0.135869565,0.336956522,0.005434783,0.02173913,0.092391304,0.065217391,0.184782609,0.005434783,0.016304348,0.016304348,0.010869565,0.048913043,0.005434783,0.038043478,0.081521739,0.076086957,0.201086957}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0.00543478260869565</c:v>
                      </c:pt>
                      <c:pt idx="1">
                        <c:v>0.0217391304347826</c:v>
                      </c:pt>
                      <c:pt idx="2">
                        <c:v>0.0108695652173913</c:v>
                      </c:pt>
                      <c:pt idx="3">
                        <c:v>0.0380434782608696</c:v>
                      </c:pt>
                      <c:pt idx="4">
                        <c:v>0.00543478260869565</c:v>
                      </c:pt>
                      <c:pt idx="5">
                        <c:v>0.016304347826087</c:v>
                      </c:pt>
                      <c:pt idx="6">
                        <c:v>0.0217391304347826</c:v>
                      </c:pt>
                      <c:pt idx="7">
                        <c:v>0.016304347826087</c:v>
                      </c:pt>
                      <c:pt idx="8">
                        <c:v>0.0597826086956522</c:v>
                      </c:pt>
                      <c:pt idx="9">
                        <c:v>0.00543478260869565</c:v>
                      </c:pt>
                      <c:pt idx="10">
                        <c:v>0.016304347826087</c:v>
                      </c:pt>
                      <c:pt idx="11">
                        <c:v>0.016304347826087</c:v>
                      </c:pt>
                      <c:pt idx="12">
                        <c:v>0.0217391304347826</c:v>
                      </c:pt>
                      <c:pt idx="13">
                        <c:v>0.0108695652173913</c:v>
                      </c:pt>
                      <c:pt idx="14">
                        <c:v>0.0706521739130435</c:v>
                      </c:pt>
                      <c:pt idx="15">
                        <c:v>0.00543478260869565</c:v>
                      </c:pt>
                      <c:pt idx="16">
                        <c:v>0.016304347826087</c:v>
                      </c:pt>
                      <c:pt idx="17">
                        <c:v>0.0217391304347826</c:v>
                      </c:pt>
                      <c:pt idx="18">
                        <c:v>0.016304347826087</c:v>
                      </c:pt>
                      <c:pt idx="19">
                        <c:v>0.0597826086956522</c:v>
                      </c:pt>
                      <c:pt idx="20">
                        <c:v>0.00543478260869565</c:v>
                      </c:pt>
                      <c:pt idx="21">
                        <c:v>0.0326086956521739</c:v>
                      </c:pt>
                      <c:pt idx="22">
                        <c:v>0.16304347826087</c:v>
                      </c:pt>
                      <c:pt idx="23">
                        <c:v>0.135869565217391</c:v>
                      </c:pt>
                      <c:pt idx="24">
                        <c:v>0.33695652173913</c:v>
                      </c:pt>
                      <c:pt idx="25">
                        <c:v>0.00543478260869565</c:v>
                      </c:pt>
                      <c:pt idx="26">
                        <c:v>0.0217391304347826</c:v>
                      </c:pt>
                      <c:pt idx="27">
                        <c:v>0.0923913043478261</c:v>
                      </c:pt>
                      <c:pt idx="28">
                        <c:v>0.0652173913043478</c:v>
                      </c:pt>
                      <c:pt idx="29">
                        <c:v>0.184782608695652</c:v>
                      </c:pt>
                      <c:pt idx="30">
                        <c:v>0.00543478260869565</c:v>
                      </c:pt>
                      <c:pt idx="31">
                        <c:v>0.016304347826087</c:v>
                      </c:pt>
                      <c:pt idx="32">
                        <c:v>0.016304347826087</c:v>
                      </c:pt>
                      <c:pt idx="33">
                        <c:v>0.0108695652173913</c:v>
                      </c:pt>
                      <c:pt idx="34">
                        <c:v>0.0489130434782609</c:v>
                      </c:pt>
                      <c:pt idx="35">
                        <c:v>0.00543478260869565</c:v>
                      </c:pt>
                      <c:pt idx="36">
                        <c:v>0.0380434782608696</c:v>
                      </c:pt>
                      <c:pt idx="37">
                        <c:v>0.0815217391304348</c:v>
                      </c:pt>
                      <c:pt idx="38">
                        <c:v>0.0760869565217391</c:v>
                      </c:pt>
                      <c:pt idx="39">
                        <c:v>0.201086956521739</c:v>
                      </c:pt>
                    </c:numCache>
                  </c:numRef>
                </c:val>
              </c15:ser>
            </c15:filteredAreaSeries>
            <c15:filteredArea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shade val="51000"/>
                          <a:satMod val="130000"/>
                        </a:schemeClr>
                      </a:gs>
                      <a:gs pos="80000">
                        <a:schemeClr val="accent2">
                          <a:lumMod val="60000"/>
                          <a:shade val="93000"/>
                          <a:satMod val="130000"/>
                        </a:schemeClr>
                      </a:gs>
                      <a:gs pos="100000">
                        <a:schemeClr val="accent2">
                          <a:lumMod val="60000"/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'2025年度人员编制增减表（裁员版）'!$B$7:$B$46</c15:sqref>
                        </c15:formulaRef>
                      </c:ext>
                    </c:extLst>
                    <c:strCache>
                      <c:ptCount val="40"/>
                      <c:pt idx="0">
                        <c:v>总经办</c:v>
                      </c:pt>
                      <c:pt idx="4">
                        <c:v>人力资源部</c:v>
                      </c:pt>
                      <c:pt idx="9">
                        <c:v>行政部</c:v>
                      </c:pt>
                      <c:pt idx="14">
                        <c:v>财务部</c:v>
                      </c:pt>
                      <c:pt idx="20">
                        <c:v>销售部</c:v>
                      </c:pt>
                      <c:pt idx="26">
                        <c:v>采购部</c:v>
                      </c:pt>
                      <c:pt idx="30">
                        <c:v>技术部</c:v>
                      </c:pt>
                      <c:pt idx="36">
                        <c:v>市场部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</c15:ser>
            </c15:filteredAreaSeries>
            <c15:filteredAreaSeries>
              <c15:ser>
                <c:idx val="8"/>
                <c:order val="8"/>
                <c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lumMod val="60000"/>
                          <a:shade val="51000"/>
                          <a:satMod val="130000"/>
                        </a:schemeClr>
                      </a:gs>
                      <a:gs pos="80000">
                        <a:schemeClr val="accent3">
                          <a:lumMod val="60000"/>
                          <a:shade val="93000"/>
                          <a:satMod val="130000"/>
                        </a:schemeClr>
                      </a:gs>
                      <a:gs pos="100000">
                        <a:schemeClr val="accent3">
                          <a:lumMod val="60000"/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'2025年度人员编制增减表（裁员版）'!$B$7:$B$46</c15:sqref>
                        </c15:formulaRef>
                      </c:ext>
                    </c:extLst>
                    <c:strCache>
                      <c:ptCount val="40"/>
                      <c:pt idx="0">
                        <c:v>总经办</c:v>
                      </c:pt>
                      <c:pt idx="4">
                        <c:v>人力资源部</c:v>
                      </c:pt>
                      <c:pt idx="9">
                        <c:v>行政部</c:v>
                      </c:pt>
                      <c:pt idx="14">
                        <c:v>财务部</c:v>
                      </c:pt>
                      <c:pt idx="20">
                        <c:v>销售部</c:v>
                      </c:pt>
                      <c:pt idx="26">
                        <c:v>采购部</c:v>
                      </c:pt>
                      <c:pt idx="30">
                        <c:v>技术部</c:v>
                      </c:pt>
                      <c:pt idx="36">
                        <c:v>市场部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</c15:ser>
            </c15:filteredAreaSeries>
            <c15:filteredAreaSeries>
              <c15:ser>
                <c:idx val="10"/>
                <c:order val="10"/>
                <c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lumMod val="60000"/>
                          <a:shade val="51000"/>
                          <a:satMod val="130000"/>
                        </a:schemeClr>
                      </a:gs>
                      <a:gs pos="80000">
                        <a:schemeClr val="accent5">
                          <a:lumMod val="60000"/>
                          <a:shade val="93000"/>
                          <a:satMod val="130000"/>
                        </a:schemeClr>
                      </a:gs>
                      <a:gs pos="100000">
                        <a:schemeClr val="accent5">
                          <a:lumMod val="60000"/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'2025年度人员编制增减表（裁员版）'!$B$7:$B$46</c15:sqref>
                        </c15:formulaRef>
                      </c:ext>
                    </c:extLst>
                    <c:strCache>
                      <c:ptCount val="40"/>
                      <c:pt idx="0">
                        <c:v>总经办</c:v>
                      </c:pt>
                      <c:pt idx="4">
                        <c:v>人力资源部</c:v>
                      </c:pt>
                      <c:pt idx="9">
                        <c:v>行政部</c:v>
                      </c:pt>
                      <c:pt idx="14">
                        <c:v>财务部</c:v>
                      </c:pt>
                      <c:pt idx="20">
                        <c:v>销售部</c:v>
                      </c:pt>
                      <c:pt idx="26">
                        <c:v>采购部</c:v>
                      </c:pt>
                      <c:pt idx="30">
                        <c:v>技术部</c:v>
                      </c:pt>
                      <c:pt idx="36">
                        <c:v>市场部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</c15:ser>
            </c15:filteredAreaSeries>
            <c15:filteredAreaSeries>
              <c15:ser>
                <c:idx val="11"/>
                <c:order val="11"/>
                <c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lumMod val="60000"/>
                          <a:shade val="51000"/>
                          <a:satMod val="130000"/>
                        </a:schemeClr>
                      </a:gs>
                      <a:gs pos="80000">
                        <a:schemeClr val="accent6">
                          <a:lumMod val="60000"/>
                          <a:shade val="93000"/>
                          <a:satMod val="130000"/>
                        </a:schemeClr>
                      </a:gs>
                      <a:gs pos="100000">
                        <a:schemeClr val="accent6">
                          <a:lumMod val="60000"/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'2025年度人员编制增减表（裁员版）'!$B$7:$B$46</c15:sqref>
                        </c15:formulaRef>
                      </c:ext>
                    </c:extLst>
                    <c:strCache>
                      <c:ptCount val="40"/>
                      <c:pt idx="0">
                        <c:v>总经办</c:v>
                      </c:pt>
                      <c:pt idx="4">
                        <c:v>人力资源部</c:v>
                      </c:pt>
                      <c:pt idx="9">
                        <c:v>行政部</c:v>
                      </c:pt>
                      <c:pt idx="14">
                        <c:v>财务部</c:v>
                      </c:pt>
                      <c:pt idx="20">
                        <c:v>销售部</c:v>
                      </c:pt>
                      <c:pt idx="26">
                        <c:v>采购部</c:v>
                      </c:pt>
                      <c:pt idx="30">
                        <c:v>技术部</c:v>
                      </c:pt>
                      <c:pt idx="36">
                        <c:v>市场部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</c15:ser>
            </c15:filteredAreaSeries>
            <c15:filteredAreaSeries>
              <c15:ser>
                <c:idx val="13"/>
                <c:order val="13"/>
                <c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80000"/>
                          <a:lumOff val="20000"/>
                          <a:shade val="51000"/>
                          <a:satMod val="130000"/>
                        </a:schemeClr>
                      </a:gs>
                      <a:gs pos="80000">
                        <a:schemeClr val="accent2">
                          <a:lumMod val="80000"/>
                          <a:lumOff val="20000"/>
                          <a:shade val="93000"/>
                          <a:satMod val="130000"/>
                        </a:schemeClr>
                      </a:gs>
                      <a:gs pos="100000">
                        <a:schemeClr val="accent2">
                          <a:lumMod val="80000"/>
                          <a:lumOff val="20000"/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'2025年度人员编制增减表（裁员版）'!$B$7:$B$46</c15:sqref>
                        </c15:formulaRef>
                      </c:ext>
                    </c:extLst>
                    <c:strCache>
                      <c:ptCount val="40"/>
                      <c:pt idx="0">
                        <c:v>总经办</c:v>
                      </c:pt>
                      <c:pt idx="4">
                        <c:v>人力资源部</c:v>
                      </c:pt>
                      <c:pt idx="9">
                        <c:v>行政部</c:v>
                      </c:pt>
                      <c:pt idx="14">
                        <c:v>财务部</c:v>
                      </c:pt>
                      <c:pt idx="20">
                        <c:v>销售部</c:v>
                      </c:pt>
                      <c:pt idx="26">
                        <c:v>采购部</c:v>
                      </c:pt>
                      <c:pt idx="30">
                        <c:v>技术部</c:v>
                      </c:pt>
                      <c:pt idx="36">
                        <c:v>市场部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</c15:ser>
            </c15:filteredAreaSeries>
            <c15:filteredAreaSeries>
              <c15:ser>
                <c:idx val="14"/>
                <c:order val="14"/>
                <c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lumMod val="80000"/>
                          <a:lumOff val="20000"/>
                          <a:shade val="51000"/>
                          <a:satMod val="130000"/>
                        </a:schemeClr>
                      </a:gs>
                      <a:gs pos="80000">
                        <a:schemeClr val="accent3">
                          <a:lumMod val="80000"/>
                          <a:lumOff val="20000"/>
                          <a:shade val="93000"/>
                          <a:satMod val="130000"/>
                        </a:schemeClr>
                      </a:gs>
                      <a:gs pos="100000">
                        <a:schemeClr val="accent3">
                          <a:lumMod val="80000"/>
                          <a:lumOff val="20000"/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'2025年度人员编制增减表（裁员版）'!$B$7:$B$46</c15:sqref>
                        </c15:formulaRef>
                      </c:ext>
                    </c:extLst>
                    <c:strCache>
                      <c:ptCount val="40"/>
                      <c:pt idx="0">
                        <c:v>总经办</c:v>
                      </c:pt>
                      <c:pt idx="4">
                        <c:v>人力资源部</c:v>
                      </c:pt>
                      <c:pt idx="9">
                        <c:v>行政部</c:v>
                      </c:pt>
                      <c:pt idx="14">
                        <c:v>财务部</c:v>
                      </c:pt>
                      <c:pt idx="20">
                        <c:v>销售部</c:v>
                      </c:pt>
                      <c:pt idx="26">
                        <c:v>采购部</c:v>
                      </c:pt>
                      <c:pt idx="30">
                        <c:v>技术部</c:v>
                      </c:pt>
                      <c:pt idx="36">
                        <c:v>市场部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</c15:ser>
            </c15:filteredAreaSeries>
            <c15:filteredAreaSeries>
              <c15:ser>
                <c:idx val="16"/>
                <c:order val="16"/>
                <c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lumMod val="80000"/>
                          <a:lumOff val="20000"/>
                          <a:shade val="51000"/>
                          <a:satMod val="130000"/>
                        </a:schemeClr>
                      </a:gs>
                      <a:gs pos="80000">
                        <a:schemeClr val="accent5">
                          <a:lumMod val="80000"/>
                          <a:lumOff val="20000"/>
                          <a:shade val="93000"/>
                          <a:satMod val="130000"/>
                        </a:schemeClr>
                      </a:gs>
                      <a:gs pos="100000">
                        <a:schemeClr val="accent5">
                          <a:lumMod val="80000"/>
                          <a:lumOff val="20000"/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'2025年度人员编制增减表（裁员版）'!$B$7:$B$46</c15:sqref>
                        </c15:formulaRef>
                      </c:ext>
                    </c:extLst>
                    <c:strCache>
                      <c:ptCount val="40"/>
                      <c:pt idx="0">
                        <c:v>总经办</c:v>
                      </c:pt>
                      <c:pt idx="4">
                        <c:v>人力资源部</c:v>
                      </c:pt>
                      <c:pt idx="9">
                        <c:v>行政部</c:v>
                      </c:pt>
                      <c:pt idx="14">
                        <c:v>财务部</c:v>
                      </c:pt>
                      <c:pt idx="20">
                        <c:v>销售部</c:v>
                      </c:pt>
                      <c:pt idx="26">
                        <c:v>采购部</c:v>
                      </c:pt>
                      <c:pt idx="30">
                        <c:v>技术部</c:v>
                      </c:pt>
                      <c:pt idx="36">
                        <c:v>市场部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</c15:ser>
            </c15:filteredAreaSeries>
            <c15:filteredAreaSeries>
              <c15:ser>
                <c:idx val="17"/>
                <c:order val="17"/>
                <c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lumMod val="80000"/>
                          <a:lumOff val="20000"/>
                          <a:shade val="51000"/>
                          <a:satMod val="130000"/>
                        </a:schemeClr>
                      </a:gs>
                      <a:gs pos="80000">
                        <a:schemeClr val="accent6">
                          <a:lumMod val="80000"/>
                          <a:lumOff val="20000"/>
                          <a:shade val="93000"/>
                          <a:satMod val="130000"/>
                        </a:schemeClr>
                      </a:gs>
                      <a:gs pos="100000">
                        <a:schemeClr val="accent6">
                          <a:lumMod val="80000"/>
                          <a:lumOff val="20000"/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'2025年度人员编制增减表（裁员版）'!$B$7:$B$46</c15:sqref>
                        </c15:formulaRef>
                      </c:ext>
                    </c:extLst>
                    <c:strCache>
                      <c:ptCount val="40"/>
                      <c:pt idx="0">
                        <c:v>总经办</c:v>
                      </c:pt>
                      <c:pt idx="4">
                        <c:v>人力资源部</c:v>
                      </c:pt>
                      <c:pt idx="9">
                        <c:v>行政部</c:v>
                      </c:pt>
                      <c:pt idx="14">
                        <c:v>财务部</c:v>
                      </c:pt>
                      <c:pt idx="20">
                        <c:v>销售部</c:v>
                      </c:pt>
                      <c:pt idx="26">
                        <c:v>采购部</c:v>
                      </c:pt>
                      <c:pt idx="30">
                        <c:v>技术部</c:v>
                      </c:pt>
                      <c:pt idx="36">
                        <c:v>市场部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</c15:ser>
            </c15:filteredAreaSeries>
          </c:ext>
        </c:extLst>
      </c:areaChart>
      <c:lineChart>
        <c:grouping val="standard"/>
        <c:varyColors val="0"/>
        <c:ser>
          <c:idx val="15"/>
          <c:order val="15"/>
          <c:tx>
            <c:strRef>
              <c:f>#REF!</c:f>
              <c:strCache>
                <c:ptCount val="1"/>
                <c:pt idx="0">
                  <c:v/>
                </c:pt>
              </c:strCache>
            </c:strRef>
          </c:tx>
          <c:spPr>
            <a:ln w="34925" cap="rnd">
              <a:solidFill>
                <a:schemeClr val="accent4">
                  <a:lumMod val="20000"/>
                  <a:lumOff val="8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7"/>
            <c:spPr>
              <a:solidFill>
                <a:schemeClr val="bg2"/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'2025年度人员编制增减表（裁员版）'!$B$7:$B$46</c:f>
              <c:strCache>
                <c:ptCount val="40"/>
                <c:pt idx="0">
                  <c:v>总经办</c:v>
                </c:pt>
                <c:pt idx="4">
                  <c:v>人力资源部</c:v>
                </c:pt>
                <c:pt idx="9">
                  <c:v>行政部</c:v>
                </c:pt>
                <c:pt idx="14">
                  <c:v>财务部</c:v>
                </c:pt>
                <c:pt idx="20">
                  <c:v>销售部</c:v>
                </c:pt>
                <c:pt idx="26">
                  <c:v>采购部</c:v>
                </c:pt>
                <c:pt idx="30">
                  <c:v>技术部</c:v>
                </c:pt>
                <c:pt idx="36">
                  <c:v>市场部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7679823"/>
        <c:axId val="687823428"/>
      </c:lineChart>
      <c:catAx>
        <c:axId val="1476798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7823428"/>
        <c:crosses val="autoZero"/>
        <c:auto val="1"/>
        <c:lblAlgn val="ctr"/>
        <c:lblOffset val="100"/>
        <c:noMultiLvlLbl val="0"/>
      </c:catAx>
      <c:valAx>
        <c:axId val="6878234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7679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100ec33-7c94-4597-bdcc-141dd05f8fb0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</a:gradFill>
    <a:ln>
      <a:noFill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10795</xdr:colOff>
      <xdr:row>46</xdr:row>
      <xdr:rowOff>40640</xdr:rowOff>
    </xdr:from>
    <xdr:to>
      <xdr:col>8</xdr:col>
      <xdr:colOff>775970</xdr:colOff>
      <xdr:row>46</xdr:row>
      <xdr:rowOff>40640</xdr:rowOff>
    </xdr:to>
    <xdr:graphicFrame>
      <xdr:nvGraphicFramePr>
        <xdr:cNvPr id="2" name="图表 1"/>
        <xdr:cNvGraphicFramePr/>
      </xdr:nvGraphicFramePr>
      <xdr:xfrm>
        <a:off x="137795" y="11070590"/>
        <a:ext cx="7712075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10795</xdr:colOff>
      <xdr:row>46</xdr:row>
      <xdr:rowOff>40640</xdr:rowOff>
    </xdr:from>
    <xdr:to>
      <xdr:col>8</xdr:col>
      <xdr:colOff>775970</xdr:colOff>
      <xdr:row>46</xdr:row>
      <xdr:rowOff>40640</xdr:rowOff>
    </xdr:to>
    <xdr:graphicFrame>
      <xdr:nvGraphicFramePr>
        <xdr:cNvPr id="2" name="图表 1"/>
        <xdr:cNvGraphicFramePr/>
      </xdr:nvGraphicFramePr>
      <xdr:xfrm>
        <a:off x="137795" y="11070590"/>
        <a:ext cx="7712075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47"/>
  <sheetViews>
    <sheetView showGridLines="0" tabSelected="1" workbookViewId="0">
      <selection activeCell="R12" sqref="R12"/>
    </sheetView>
  </sheetViews>
  <sheetFormatPr defaultColWidth="8.89090909090909" defaultRowHeight="18"/>
  <cols>
    <col min="1" max="1" width="1.81818181818182" style="2" customWidth="1"/>
    <col min="2" max="3" width="15.6363636363636" style="3" customWidth="1"/>
    <col min="4" max="4" width="13.6363636363636" style="3" customWidth="1"/>
    <col min="5" max="9" width="13.6363636363636" style="1" customWidth="1"/>
    <col min="10" max="16334" width="8.89090909090909" style="1"/>
    <col min="16335" max="16384" width="8.89090909090909" style="2"/>
  </cols>
  <sheetData>
    <row r="1" ht="9" customHeight="1"/>
    <row r="2" s="1" customFormat="1" ht="43" spans="2:9">
      <c r="B2" s="4" t="s">
        <v>0</v>
      </c>
      <c r="C2" s="4"/>
      <c r="D2" s="4"/>
      <c r="E2" s="4"/>
      <c r="F2" s="4"/>
      <c r="G2" s="4"/>
      <c r="H2" s="4"/>
      <c r="I2" s="4"/>
    </row>
    <row r="3" s="1" customFormat="1" ht="35" customHeight="1" spans="2:9">
      <c r="B3" s="5" t="s">
        <v>1</v>
      </c>
      <c r="C3" s="5"/>
      <c r="D3" s="5"/>
      <c r="E3" s="5"/>
      <c r="F3" s="5"/>
      <c r="G3" s="5"/>
      <c r="H3" s="5"/>
      <c r="I3" s="5"/>
    </row>
    <row r="4" s="1" customFormat="1" spans="2:9">
      <c r="B4" s="6" t="s">
        <v>2</v>
      </c>
      <c r="C4" s="7" t="s">
        <v>3</v>
      </c>
      <c r="D4" s="7" t="s">
        <v>4</v>
      </c>
      <c r="E4" s="7" t="s">
        <v>5</v>
      </c>
      <c r="F4" s="7"/>
      <c r="G4" s="7" t="s">
        <v>6</v>
      </c>
      <c r="H4" s="7"/>
      <c r="I4" s="27"/>
    </row>
    <row r="5" s="1" customFormat="1" ht="18.75" spans="2:9">
      <c r="B5" s="8"/>
      <c r="C5" s="9"/>
      <c r="D5" s="9"/>
      <c r="E5" s="9" t="s">
        <v>7</v>
      </c>
      <c r="F5" s="9" t="s">
        <v>8</v>
      </c>
      <c r="G5" s="9" t="s">
        <v>7</v>
      </c>
      <c r="H5" s="9" t="s">
        <v>8</v>
      </c>
      <c r="I5" s="28" t="s">
        <v>9</v>
      </c>
    </row>
    <row r="6" s="1" customFormat="1" ht="18.75" spans="2:9">
      <c r="B6" s="33" t="s">
        <v>10</v>
      </c>
      <c r="C6" s="34"/>
      <c r="D6" s="34"/>
      <c r="E6" s="34">
        <f>SUM(E7:E65561)-SUMPRODUCT((C7:C65557=C10)*E7:E65557)</f>
        <v>322</v>
      </c>
      <c r="F6" s="35">
        <f t="shared" ref="F6:F46" si="0">E6/$E$6</f>
        <v>1</v>
      </c>
      <c r="G6" s="34">
        <f>SUM(G7:G65561)-SUMPRODUCT((C7:C65557=C10)*G7:G65557)</f>
        <v>500</v>
      </c>
      <c r="H6" s="35">
        <f t="shared" ref="H6:H46" si="1">G6/$G$6</f>
        <v>1</v>
      </c>
      <c r="I6" s="36">
        <f t="shared" ref="I6:I46" si="2">G6-E6</f>
        <v>178</v>
      </c>
    </row>
    <row r="7" s="1" customFormat="1" spans="2:9">
      <c r="B7" s="13" t="s">
        <v>11</v>
      </c>
      <c r="C7" s="14" t="s">
        <v>12</v>
      </c>
      <c r="D7" s="14" t="s">
        <v>12</v>
      </c>
      <c r="E7" s="15">
        <v>1</v>
      </c>
      <c r="F7" s="16">
        <f t="shared" si="0"/>
        <v>0.0031055900621118</v>
      </c>
      <c r="G7" s="15">
        <v>1</v>
      </c>
      <c r="H7" s="16">
        <f t="shared" si="1"/>
        <v>0.002</v>
      </c>
      <c r="I7" s="30">
        <f t="shared" si="2"/>
        <v>0</v>
      </c>
    </row>
    <row r="8" s="1" customFormat="1" spans="2:9">
      <c r="B8" s="17"/>
      <c r="C8" s="18" t="s">
        <v>13</v>
      </c>
      <c r="D8" s="18" t="s">
        <v>13</v>
      </c>
      <c r="E8" s="19">
        <v>2</v>
      </c>
      <c r="F8" s="20">
        <f t="shared" si="0"/>
        <v>0.0062111801242236</v>
      </c>
      <c r="G8" s="19">
        <v>2</v>
      </c>
      <c r="H8" s="20">
        <f t="shared" si="1"/>
        <v>0.004</v>
      </c>
      <c r="I8" s="31">
        <f t="shared" si="2"/>
        <v>0</v>
      </c>
    </row>
    <row r="9" s="1" customFormat="1" spans="2:9">
      <c r="B9" s="17"/>
      <c r="C9" s="18" t="s">
        <v>14</v>
      </c>
      <c r="D9" s="18" t="s">
        <v>15</v>
      </c>
      <c r="E9" s="19">
        <v>4</v>
      </c>
      <c r="F9" s="20">
        <f t="shared" si="0"/>
        <v>0.0124223602484472</v>
      </c>
      <c r="G9" s="19">
        <v>6</v>
      </c>
      <c r="H9" s="20">
        <f t="shared" si="1"/>
        <v>0.012</v>
      </c>
      <c r="I9" s="31">
        <f t="shared" si="2"/>
        <v>2</v>
      </c>
    </row>
    <row r="10" s="1" customFormat="1" ht="18.75" spans="2:9">
      <c r="B10" s="21"/>
      <c r="C10" s="22" t="s">
        <v>16</v>
      </c>
      <c r="D10" s="22"/>
      <c r="E10" s="22">
        <f>SUM(E7:E9)</f>
        <v>7</v>
      </c>
      <c r="F10" s="23">
        <f t="shared" si="0"/>
        <v>0.0217391304347826</v>
      </c>
      <c r="G10" s="22">
        <f>SUM(G7:G9)</f>
        <v>9</v>
      </c>
      <c r="H10" s="23">
        <f t="shared" si="1"/>
        <v>0.018</v>
      </c>
      <c r="I10" s="32">
        <f t="shared" si="2"/>
        <v>2</v>
      </c>
    </row>
    <row r="11" s="1" customFormat="1" spans="2:9">
      <c r="B11" s="24" t="s">
        <v>17</v>
      </c>
      <c r="C11" s="15" t="s">
        <v>18</v>
      </c>
      <c r="D11" s="15" t="s">
        <v>19</v>
      </c>
      <c r="E11" s="15">
        <v>1</v>
      </c>
      <c r="F11" s="16">
        <f t="shared" si="0"/>
        <v>0.0031055900621118</v>
      </c>
      <c r="G11" s="15">
        <v>1</v>
      </c>
      <c r="H11" s="16">
        <f t="shared" si="1"/>
        <v>0.002</v>
      </c>
      <c r="I11" s="30">
        <f t="shared" si="2"/>
        <v>0</v>
      </c>
    </row>
    <row r="12" s="1" customFormat="1" spans="2:9">
      <c r="B12" s="25"/>
      <c r="C12" s="19" t="s">
        <v>20</v>
      </c>
      <c r="D12" s="19" t="s">
        <v>21</v>
      </c>
      <c r="E12" s="19">
        <v>1</v>
      </c>
      <c r="F12" s="20">
        <f t="shared" si="0"/>
        <v>0.0031055900621118</v>
      </c>
      <c r="G12" s="19">
        <v>2</v>
      </c>
      <c r="H12" s="20">
        <f t="shared" si="1"/>
        <v>0.004</v>
      </c>
      <c r="I12" s="31">
        <f t="shared" si="2"/>
        <v>1</v>
      </c>
    </row>
    <row r="13" s="1" customFormat="1" spans="2:9">
      <c r="B13" s="25"/>
      <c r="C13" s="19" t="s">
        <v>22</v>
      </c>
      <c r="D13" s="19" t="s">
        <v>15</v>
      </c>
      <c r="E13" s="19">
        <v>7</v>
      </c>
      <c r="F13" s="20">
        <f t="shared" si="0"/>
        <v>0.0217391304347826</v>
      </c>
      <c r="G13" s="19">
        <v>10</v>
      </c>
      <c r="H13" s="20">
        <f t="shared" si="1"/>
        <v>0.02</v>
      </c>
      <c r="I13" s="31">
        <f t="shared" si="2"/>
        <v>3</v>
      </c>
    </row>
    <row r="14" s="1" customFormat="1" spans="2:9">
      <c r="B14" s="25"/>
      <c r="C14" s="19" t="s">
        <v>23</v>
      </c>
      <c r="D14" s="19" t="s">
        <v>24</v>
      </c>
      <c r="E14" s="19">
        <v>4</v>
      </c>
      <c r="F14" s="20">
        <f t="shared" si="0"/>
        <v>0.0124223602484472</v>
      </c>
      <c r="G14" s="19">
        <v>6</v>
      </c>
      <c r="H14" s="20">
        <f t="shared" si="1"/>
        <v>0.012</v>
      </c>
      <c r="I14" s="31">
        <f t="shared" si="2"/>
        <v>2</v>
      </c>
    </row>
    <row r="15" s="1" customFormat="1" ht="18.75" spans="2:9">
      <c r="B15" s="26"/>
      <c r="C15" s="22" t="s">
        <v>16</v>
      </c>
      <c r="D15" s="22"/>
      <c r="E15" s="22">
        <f>SUM(E11:E14)</f>
        <v>13</v>
      </c>
      <c r="F15" s="23">
        <f t="shared" si="0"/>
        <v>0.0403726708074534</v>
      </c>
      <c r="G15" s="22">
        <f>SUM(G11:G14)</f>
        <v>19</v>
      </c>
      <c r="H15" s="23">
        <f t="shared" si="1"/>
        <v>0.038</v>
      </c>
      <c r="I15" s="32">
        <f t="shared" si="2"/>
        <v>6</v>
      </c>
    </row>
    <row r="16" s="1" customFormat="1" spans="2:9">
      <c r="B16" s="13" t="s">
        <v>25</v>
      </c>
      <c r="C16" s="14" t="s">
        <v>26</v>
      </c>
      <c r="D16" s="15" t="s">
        <v>19</v>
      </c>
      <c r="E16" s="15">
        <v>1</v>
      </c>
      <c r="F16" s="16">
        <f t="shared" si="0"/>
        <v>0.0031055900621118</v>
      </c>
      <c r="G16" s="15">
        <v>1</v>
      </c>
      <c r="H16" s="16">
        <f t="shared" si="1"/>
        <v>0.002</v>
      </c>
      <c r="I16" s="30">
        <f t="shared" si="2"/>
        <v>0</v>
      </c>
    </row>
    <row r="17" s="1" customFormat="1" spans="2:9">
      <c r="B17" s="17"/>
      <c r="C17" s="18" t="s">
        <v>27</v>
      </c>
      <c r="D17" s="19" t="s">
        <v>21</v>
      </c>
      <c r="E17" s="19">
        <v>1</v>
      </c>
      <c r="F17" s="20">
        <f t="shared" si="0"/>
        <v>0.0031055900621118</v>
      </c>
      <c r="G17" s="19">
        <v>1</v>
      </c>
      <c r="H17" s="20">
        <f t="shared" si="1"/>
        <v>0.002</v>
      </c>
      <c r="I17" s="31">
        <f t="shared" si="2"/>
        <v>0</v>
      </c>
    </row>
    <row r="18" s="1" customFormat="1" spans="2:9">
      <c r="B18" s="17"/>
      <c r="C18" s="18" t="s">
        <v>28</v>
      </c>
      <c r="D18" s="19" t="s">
        <v>15</v>
      </c>
      <c r="E18" s="19">
        <v>6</v>
      </c>
      <c r="F18" s="20">
        <f t="shared" si="0"/>
        <v>0.0186335403726708</v>
      </c>
      <c r="G18" s="19">
        <v>8</v>
      </c>
      <c r="H18" s="20">
        <f t="shared" si="1"/>
        <v>0.016</v>
      </c>
      <c r="I18" s="31">
        <f t="shared" si="2"/>
        <v>2</v>
      </c>
    </row>
    <row r="19" s="1" customFormat="1" spans="2:9">
      <c r="B19" s="17"/>
      <c r="C19" s="18" t="s">
        <v>29</v>
      </c>
      <c r="D19" s="19" t="s">
        <v>15</v>
      </c>
      <c r="E19" s="19">
        <v>2</v>
      </c>
      <c r="F19" s="20">
        <f t="shared" si="0"/>
        <v>0.0062111801242236</v>
      </c>
      <c r="G19" s="19">
        <v>2</v>
      </c>
      <c r="H19" s="20">
        <f t="shared" si="1"/>
        <v>0.004</v>
      </c>
      <c r="I19" s="31">
        <f t="shared" si="2"/>
        <v>0</v>
      </c>
    </row>
    <row r="20" s="1" customFormat="1" ht="18.75" spans="2:9">
      <c r="B20" s="21"/>
      <c r="C20" s="22" t="s">
        <v>16</v>
      </c>
      <c r="D20" s="22"/>
      <c r="E20" s="22">
        <f>SUM(E16:E19)</f>
        <v>10</v>
      </c>
      <c r="F20" s="23">
        <f t="shared" si="0"/>
        <v>0.031055900621118</v>
      </c>
      <c r="G20" s="22">
        <f>SUM(G16:G19)</f>
        <v>12</v>
      </c>
      <c r="H20" s="23">
        <f t="shared" si="1"/>
        <v>0.024</v>
      </c>
      <c r="I20" s="32">
        <f t="shared" si="2"/>
        <v>2</v>
      </c>
    </row>
    <row r="21" s="1" customFormat="1" spans="2:9">
      <c r="B21" s="24" t="s">
        <v>30</v>
      </c>
      <c r="C21" s="14" t="s">
        <v>31</v>
      </c>
      <c r="D21" s="15" t="s">
        <v>19</v>
      </c>
      <c r="E21" s="15">
        <v>1</v>
      </c>
      <c r="F21" s="16">
        <f t="shared" si="0"/>
        <v>0.0031055900621118</v>
      </c>
      <c r="G21" s="15">
        <v>1</v>
      </c>
      <c r="H21" s="16">
        <f t="shared" si="1"/>
        <v>0.002</v>
      </c>
      <c r="I21" s="30">
        <f t="shared" si="2"/>
        <v>0</v>
      </c>
    </row>
    <row r="22" s="1" customFormat="1" spans="2:9">
      <c r="B22" s="25"/>
      <c r="C22" s="18" t="s">
        <v>32</v>
      </c>
      <c r="D22" s="19" t="s">
        <v>21</v>
      </c>
      <c r="E22" s="19">
        <v>1</v>
      </c>
      <c r="F22" s="20">
        <f t="shared" si="0"/>
        <v>0.0031055900621118</v>
      </c>
      <c r="G22" s="19">
        <v>2</v>
      </c>
      <c r="H22" s="20">
        <f t="shared" si="1"/>
        <v>0.004</v>
      </c>
      <c r="I22" s="31">
        <f t="shared" si="2"/>
        <v>1</v>
      </c>
    </row>
    <row r="23" s="1" customFormat="1" spans="2:9">
      <c r="B23" s="25"/>
      <c r="C23" s="18" t="s">
        <v>33</v>
      </c>
      <c r="D23" s="19" t="s">
        <v>34</v>
      </c>
      <c r="E23" s="19">
        <v>3</v>
      </c>
      <c r="F23" s="20">
        <f t="shared" si="0"/>
        <v>0.0093167701863354</v>
      </c>
      <c r="G23" s="19">
        <v>4</v>
      </c>
      <c r="H23" s="20">
        <f t="shared" si="1"/>
        <v>0.008</v>
      </c>
      <c r="I23" s="31">
        <f t="shared" si="2"/>
        <v>1</v>
      </c>
    </row>
    <row r="24" s="1" customFormat="1" spans="2:9">
      <c r="B24" s="25"/>
      <c r="C24" s="18" t="s">
        <v>35</v>
      </c>
      <c r="D24" s="19" t="s">
        <v>15</v>
      </c>
      <c r="E24" s="19">
        <v>8</v>
      </c>
      <c r="F24" s="20">
        <f t="shared" si="0"/>
        <v>0.0248447204968944</v>
      </c>
      <c r="G24" s="19">
        <v>10</v>
      </c>
      <c r="H24" s="20">
        <f t="shared" si="1"/>
        <v>0.02</v>
      </c>
      <c r="I24" s="31">
        <f t="shared" si="2"/>
        <v>2</v>
      </c>
    </row>
    <row r="25" s="1" customFormat="1" spans="2:9">
      <c r="B25" s="25"/>
      <c r="C25" s="18" t="s">
        <v>36</v>
      </c>
      <c r="D25" s="19" t="s">
        <v>15</v>
      </c>
      <c r="E25" s="19">
        <v>4</v>
      </c>
      <c r="F25" s="20">
        <f t="shared" si="0"/>
        <v>0.0124223602484472</v>
      </c>
      <c r="G25" s="19">
        <v>6</v>
      </c>
      <c r="H25" s="20">
        <f t="shared" si="1"/>
        <v>0.012</v>
      </c>
      <c r="I25" s="31">
        <f t="shared" si="2"/>
        <v>2</v>
      </c>
    </row>
    <row r="26" s="1" customFormat="1" ht="18.75" spans="2:9">
      <c r="B26" s="26"/>
      <c r="C26" s="22" t="s">
        <v>16</v>
      </c>
      <c r="D26" s="22"/>
      <c r="E26" s="22">
        <f>SUM(E21:E25)</f>
        <v>17</v>
      </c>
      <c r="F26" s="23">
        <f t="shared" si="0"/>
        <v>0.0527950310559006</v>
      </c>
      <c r="G26" s="22">
        <f>SUM(G21:G25)</f>
        <v>23</v>
      </c>
      <c r="H26" s="23">
        <f t="shared" si="1"/>
        <v>0.046</v>
      </c>
      <c r="I26" s="32">
        <f t="shared" si="2"/>
        <v>6</v>
      </c>
    </row>
    <row r="27" s="1" customFormat="1" spans="2:9">
      <c r="B27" s="13" t="s">
        <v>37</v>
      </c>
      <c r="C27" s="14" t="s">
        <v>38</v>
      </c>
      <c r="D27" s="15" t="s">
        <v>19</v>
      </c>
      <c r="E27" s="15">
        <v>1</v>
      </c>
      <c r="F27" s="16">
        <f t="shared" si="0"/>
        <v>0.0031055900621118</v>
      </c>
      <c r="G27" s="15">
        <v>1</v>
      </c>
      <c r="H27" s="16">
        <f t="shared" si="1"/>
        <v>0.002</v>
      </c>
      <c r="I27" s="30">
        <f t="shared" si="2"/>
        <v>0</v>
      </c>
    </row>
    <row r="28" s="1" customFormat="1" spans="2:9">
      <c r="B28" s="17"/>
      <c r="C28" s="18" t="s">
        <v>39</v>
      </c>
      <c r="D28" s="19" t="s">
        <v>21</v>
      </c>
      <c r="E28" s="19">
        <v>4</v>
      </c>
      <c r="F28" s="20">
        <f t="shared" si="0"/>
        <v>0.0124223602484472</v>
      </c>
      <c r="G28" s="19">
        <v>10</v>
      </c>
      <c r="H28" s="20">
        <f t="shared" si="1"/>
        <v>0.02</v>
      </c>
      <c r="I28" s="31">
        <f t="shared" si="2"/>
        <v>6</v>
      </c>
    </row>
    <row r="29" s="1" customFormat="1" spans="2:9">
      <c r="B29" s="17"/>
      <c r="C29" s="18" t="s">
        <v>40</v>
      </c>
      <c r="D29" s="19" t="s">
        <v>34</v>
      </c>
      <c r="E29" s="19">
        <v>12</v>
      </c>
      <c r="F29" s="20">
        <f t="shared" si="0"/>
        <v>0.0372670807453416</v>
      </c>
      <c r="G29" s="19">
        <v>20</v>
      </c>
      <c r="H29" s="20">
        <f t="shared" si="1"/>
        <v>0.04</v>
      </c>
      <c r="I29" s="31">
        <f t="shared" si="2"/>
        <v>8</v>
      </c>
    </row>
    <row r="30" s="1" customFormat="1" spans="2:9">
      <c r="B30" s="17"/>
      <c r="C30" s="18" t="s">
        <v>41</v>
      </c>
      <c r="D30" s="19" t="s">
        <v>15</v>
      </c>
      <c r="E30" s="19">
        <v>95</v>
      </c>
      <c r="F30" s="20">
        <f t="shared" si="0"/>
        <v>0.295031055900621</v>
      </c>
      <c r="G30" s="19">
        <v>150</v>
      </c>
      <c r="H30" s="20">
        <f t="shared" si="1"/>
        <v>0.3</v>
      </c>
      <c r="I30" s="31">
        <f t="shared" si="2"/>
        <v>55</v>
      </c>
    </row>
    <row r="31" s="1" customFormat="1" spans="2:9">
      <c r="B31" s="17"/>
      <c r="C31" s="18" t="s">
        <v>42</v>
      </c>
      <c r="D31" s="19" t="s">
        <v>24</v>
      </c>
      <c r="E31" s="19">
        <v>23</v>
      </c>
      <c r="F31" s="20">
        <f t="shared" si="0"/>
        <v>0.0714285714285714</v>
      </c>
      <c r="G31" s="19">
        <v>50</v>
      </c>
      <c r="H31" s="20">
        <f t="shared" si="1"/>
        <v>0.1</v>
      </c>
      <c r="I31" s="31">
        <f t="shared" si="2"/>
        <v>27</v>
      </c>
    </row>
    <row r="32" s="1" customFormat="1" ht="18.75" spans="2:9">
      <c r="B32" s="21"/>
      <c r="C32" s="22" t="s">
        <v>16</v>
      </c>
      <c r="D32" s="22"/>
      <c r="E32" s="22">
        <f>SUM(E27:E31)</f>
        <v>135</v>
      </c>
      <c r="F32" s="23">
        <f t="shared" si="0"/>
        <v>0.419254658385093</v>
      </c>
      <c r="G32" s="22">
        <f>SUM(G27:G31)</f>
        <v>231</v>
      </c>
      <c r="H32" s="23">
        <f t="shared" si="1"/>
        <v>0.462</v>
      </c>
      <c r="I32" s="32">
        <f t="shared" si="2"/>
        <v>96</v>
      </c>
    </row>
    <row r="33" s="1" customFormat="1" spans="2:9">
      <c r="B33" s="24" t="s">
        <v>43</v>
      </c>
      <c r="C33" s="14" t="s">
        <v>44</v>
      </c>
      <c r="D33" s="15" t="s">
        <v>19</v>
      </c>
      <c r="E33" s="15">
        <v>1</v>
      </c>
      <c r="F33" s="16">
        <f t="shared" si="0"/>
        <v>0.0031055900621118</v>
      </c>
      <c r="G33" s="15">
        <v>1</v>
      </c>
      <c r="H33" s="16">
        <f t="shared" si="1"/>
        <v>0.002</v>
      </c>
      <c r="I33" s="30">
        <f t="shared" si="2"/>
        <v>0</v>
      </c>
    </row>
    <row r="34" s="1" customFormat="1" spans="2:9">
      <c r="B34" s="25"/>
      <c r="C34" s="18" t="s">
        <v>45</v>
      </c>
      <c r="D34" s="19" t="s">
        <v>21</v>
      </c>
      <c r="E34" s="19">
        <v>2</v>
      </c>
      <c r="F34" s="20">
        <f t="shared" si="0"/>
        <v>0.0062111801242236</v>
      </c>
      <c r="G34" s="19">
        <v>2</v>
      </c>
      <c r="H34" s="20">
        <f t="shared" si="1"/>
        <v>0.004</v>
      </c>
      <c r="I34" s="31">
        <f t="shared" si="2"/>
        <v>0</v>
      </c>
    </row>
    <row r="35" s="1" customFormat="1" spans="2:9">
      <c r="B35" s="25"/>
      <c r="C35" s="18" t="s">
        <v>46</v>
      </c>
      <c r="D35" s="19" t="s">
        <v>15</v>
      </c>
      <c r="E35" s="19">
        <v>11</v>
      </c>
      <c r="F35" s="20">
        <f t="shared" si="0"/>
        <v>0.0341614906832298</v>
      </c>
      <c r="G35" s="19">
        <v>15</v>
      </c>
      <c r="H35" s="20">
        <f t="shared" si="1"/>
        <v>0.03</v>
      </c>
      <c r="I35" s="31">
        <f t="shared" si="2"/>
        <v>4</v>
      </c>
    </row>
    <row r="36" s="1" customFormat="1" ht="18.75" spans="2:9">
      <c r="B36" s="26"/>
      <c r="C36" s="22" t="s">
        <v>16</v>
      </c>
      <c r="D36" s="22"/>
      <c r="E36" s="22">
        <f>SUM(E33:E35)</f>
        <v>14</v>
      </c>
      <c r="F36" s="23">
        <f t="shared" si="0"/>
        <v>0.0434782608695652</v>
      </c>
      <c r="G36" s="22">
        <f>SUM(G33:G35)</f>
        <v>18</v>
      </c>
      <c r="H36" s="23">
        <f t="shared" si="1"/>
        <v>0.036</v>
      </c>
      <c r="I36" s="32">
        <f t="shared" si="2"/>
        <v>4</v>
      </c>
    </row>
    <row r="37" s="1" customFormat="1" spans="2:9">
      <c r="B37" s="13" t="s">
        <v>47</v>
      </c>
      <c r="C37" s="15" t="s">
        <v>48</v>
      </c>
      <c r="D37" s="15" t="s">
        <v>19</v>
      </c>
      <c r="E37" s="15">
        <v>1</v>
      </c>
      <c r="F37" s="16">
        <f t="shared" si="0"/>
        <v>0.0031055900621118</v>
      </c>
      <c r="G37" s="15">
        <v>1</v>
      </c>
      <c r="H37" s="16">
        <f t="shared" si="1"/>
        <v>0.002</v>
      </c>
      <c r="I37" s="30">
        <f t="shared" si="2"/>
        <v>0</v>
      </c>
    </row>
    <row r="38" s="1" customFormat="1" spans="2:9">
      <c r="B38" s="17"/>
      <c r="C38" s="19" t="s">
        <v>49</v>
      </c>
      <c r="D38" s="19" t="s">
        <v>21</v>
      </c>
      <c r="E38" s="19">
        <v>4</v>
      </c>
      <c r="F38" s="20">
        <f t="shared" si="0"/>
        <v>0.0124223602484472</v>
      </c>
      <c r="G38" s="19">
        <v>8</v>
      </c>
      <c r="H38" s="20">
        <f t="shared" si="1"/>
        <v>0.016</v>
      </c>
      <c r="I38" s="31">
        <f t="shared" si="2"/>
        <v>4</v>
      </c>
    </row>
    <row r="39" s="1" customFormat="1" spans="2:9">
      <c r="B39" s="17"/>
      <c r="C39" s="19" t="s">
        <v>50</v>
      </c>
      <c r="D39" s="19" t="s">
        <v>34</v>
      </c>
      <c r="E39" s="19">
        <v>12</v>
      </c>
      <c r="F39" s="20">
        <f t="shared" si="0"/>
        <v>0.0372670807453416</v>
      </c>
      <c r="G39" s="19">
        <v>16</v>
      </c>
      <c r="H39" s="20">
        <f t="shared" si="1"/>
        <v>0.032</v>
      </c>
      <c r="I39" s="31">
        <f t="shared" si="2"/>
        <v>4</v>
      </c>
    </row>
    <row r="40" s="1" customFormat="1" spans="2:9">
      <c r="B40" s="17"/>
      <c r="C40" s="19" t="s">
        <v>51</v>
      </c>
      <c r="D40" s="19" t="s">
        <v>15</v>
      </c>
      <c r="E40" s="19">
        <v>58</v>
      </c>
      <c r="F40" s="20">
        <f t="shared" si="0"/>
        <v>0.180124223602484</v>
      </c>
      <c r="G40" s="19">
        <v>80</v>
      </c>
      <c r="H40" s="20">
        <f t="shared" si="1"/>
        <v>0.16</v>
      </c>
      <c r="I40" s="31">
        <f t="shared" si="2"/>
        <v>22</v>
      </c>
    </row>
    <row r="41" s="1" customFormat="1" spans="2:9">
      <c r="B41" s="17"/>
      <c r="C41" s="19" t="s">
        <v>52</v>
      </c>
      <c r="D41" s="19" t="s">
        <v>15</v>
      </c>
      <c r="E41" s="19">
        <v>37</v>
      </c>
      <c r="F41" s="20">
        <f t="shared" si="0"/>
        <v>0.114906832298137</v>
      </c>
      <c r="G41" s="19">
        <v>60</v>
      </c>
      <c r="H41" s="20">
        <f t="shared" si="1"/>
        <v>0.12</v>
      </c>
      <c r="I41" s="31">
        <f t="shared" si="2"/>
        <v>23</v>
      </c>
    </row>
    <row r="42" s="1" customFormat="1" ht="18.75" spans="2:9">
      <c r="B42" s="21"/>
      <c r="C42" s="22" t="s">
        <v>16</v>
      </c>
      <c r="D42" s="22"/>
      <c r="E42" s="22">
        <f>SUM(E37:E41)</f>
        <v>112</v>
      </c>
      <c r="F42" s="23">
        <f t="shared" si="0"/>
        <v>0.347826086956522</v>
      </c>
      <c r="G42" s="22">
        <f>SUM(G37:G41)</f>
        <v>165</v>
      </c>
      <c r="H42" s="23">
        <f t="shared" si="1"/>
        <v>0.33</v>
      </c>
      <c r="I42" s="32">
        <f t="shared" si="2"/>
        <v>53</v>
      </c>
    </row>
    <row r="43" s="1" customFormat="1" spans="2:9">
      <c r="B43" s="24" t="s">
        <v>53</v>
      </c>
      <c r="C43" s="15" t="s">
        <v>54</v>
      </c>
      <c r="D43" s="15" t="s">
        <v>19</v>
      </c>
      <c r="E43" s="15">
        <v>1</v>
      </c>
      <c r="F43" s="16">
        <f t="shared" si="0"/>
        <v>0.0031055900621118</v>
      </c>
      <c r="G43" s="15">
        <v>1</v>
      </c>
      <c r="H43" s="16">
        <f t="shared" si="1"/>
        <v>0.002</v>
      </c>
      <c r="I43" s="30">
        <f t="shared" si="2"/>
        <v>0</v>
      </c>
    </row>
    <row r="44" s="1" customFormat="1" spans="2:9">
      <c r="B44" s="25"/>
      <c r="C44" s="19" t="s">
        <v>55</v>
      </c>
      <c r="D44" s="19" t="s">
        <v>21</v>
      </c>
      <c r="E44" s="19">
        <v>1</v>
      </c>
      <c r="F44" s="20">
        <f t="shared" si="0"/>
        <v>0.0031055900621118</v>
      </c>
      <c r="G44" s="19">
        <v>2</v>
      </c>
      <c r="H44" s="20">
        <f t="shared" si="1"/>
        <v>0.004</v>
      </c>
      <c r="I44" s="31">
        <f t="shared" si="2"/>
        <v>1</v>
      </c>
    </row>
    <row r="45" s="1" customFormat="1" spans="2:9">
      <c r="B45" s="25"/>
      <c r="C45" s="19" t="s">
        <v>56</v>
      </c>
      <c r="D45" s="19" t="s">
        <v>15</v>
      </c>
      <c r="E45" s="19">
        <v>12</v>
      </c>
      <c r="F45" s="20">
        <f t="shared" si="0"/>
        <v>0.0372670807453416</v>
      </c>
      <c r="G45" s="19">
        <v>20</v>
      </c>
      <c r="H45" s="20">
        <f t="shared" si="1"/>
        <v>0.04</v>
      </c>
      <c r="I45" s="31">
        <f t="shared" si="2"/>
        <v>8</v>
      </c>
    </row>
    <row r="46" s="1" customFormat="1" ht="18.75" spans="2:9">
      <c r="B46" s="26"/>
      <c r="C46" s="22" t="s">
        <v>16</v>
      </c>
      <c r="D46" s="22"/>
      <c r="E46" s="22">
        <f>SUM(E43:E45)</f>
        <v>14</v>
      </c>
      <c r="F46" s="23">
        <f t="shared" si="0"/>
        <v>0.0434782608695652</v>
      </c>
      <c r="G46" s="22">
        <f>SUM(G43:G45)</f>
        <v>23</v>
      </c>
      <c r="H46" s="23">
        <f t="shared" si="1"/>
        <v>0.046</v>
      </c>
      <c r="I46" s="32">
        <f t="shared" si="2"/>
        <v>9</v>
      </c>
    </row>
    <row r="47" s="1" customFormat="1" ht="7" customHeight="1" spans="2:4">
      <c r="B47" s="3"/>
      <c r="C47" s="3"/>
      <c r="D47" s="3"/>
    </row>
  </sheetData>
  <mergeCells count="24">
    <mergeCell ref="B2:I2"/>
    <mergeCell ref="B3:I3"/>
    <mergeCell ref="E4:F4"/>
    <mergeCell ref="G4:I4"/>
    <mergeCell ref="B6:D6"/>
    <mergeCell ref="C10:D10"/>
    <mergeCell ref="C15:D15"/>
    <mergeCell ref="C20:D20"/>
    <mergeCell ref="C26:D26"/>
    <mergeCell ref="C32:D32"/>
    <mergeCell ref="C36:D36"/>
    <mergeCell ref="C42:D42"/>
    <mergeCell ref="C46:D46"/>
    <mergeCell ref="B4:B5"/>
    <mergeCell ref="B7:B10"/>
    <mergeCell ref="B11:B15"/>
    <mergeCell ref="B16:B20"/>
    <mergeCell ref="B21:B26"/>
    <mergeCell ref="B27:B32"/>
    <mergeCell ref="B33:B36"/>
    <mergeCell ref="B37:B42"/>
    <mergeCell ref="B43:B46"/>
    <mergeCell ref="C4:C5"/>
    <mergeCell ref="D4:D5"/>
  </mergeCells>
  <pageMargins left="0.699305555555556" right="0.699305555555556" top="0.75" bottom="0.75" header="0.3" footer="0.3"/>
  <pageSetup paperSize="9" orientation="portrait"/>
  <headerFooter/>
  <ignoredErrors>
    <ignoredError sqref="F10:F46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47"/>
  <sheetViews>
    <sheetView showGridLines="0" workbookViewId="0">
      <selection activeCell="L10" sqref="L10"/>
    </sheetView>
  </sheetViews>
  <sheetFormatPr defaultColWidth="8.89090909090909" defaultRowHeight="18"/>
  <cols>
    <col min="1" max="1" width="1.81818181818182" style="2" customWidth="1"/>
    <col min="2" max="3" width="15.6363636363636" style="3" customWidth="1"/>
    <col min="4" max="4" width="13.6363636363636" style="3" customWidth="1"/>
    <col min="5" max="9" width="13.6363636363636" style="1" customWidth="1"/>
    <col min="10" max="16326" width="8.89090909090909" style="1"/>
    <col min="16327" max="16384" width="8.89090909090909" style="2"/>
  </cols>
  <sheetData>
    <row r="1" ht="9" customHeight="1"/>
    <row r="2" s="1" customFormat="1" ht="43" spans="2:9">
      <c r="B2" s="4" t="s">
        <v>57</v>
      </c>
      <c r="C2" s="4"/>
      <c r="D2" s="4"/>
      <c r="E2" s="4"/>
      <c r="F2" s="4"/>
      <c r="G2" s="4"/>
      <c r="H2" s="4"/>
      <c r="I2" s="4"/>
    </row>
    <row r="3" s="1" customFormat="1" ht="35" customHeight="1" spans="2:9">
      <c r="B3" s="5" t="s">
        <v>1</v>
      </c>
      <c r="C3" s="5"/>
      <c r="D3" s="5"/>
      <c r="E3" s="5"/>
      <c r="F3" s="5"/>
      <c r="G3" s="5"/>
      <c r="H3" s="5"/>
      <c r="I3" s="5"/>
    </row>
    <row r="4" s="1" customFormat="1" spans="2:9">
      <c r="B4" s="6" t="s">
        <v>2</v>
      </c>
      <c r="C4" s="7" t="s">
        <v>3</v>
      </c>
      <c r="D4" s="7" t="s">
        <v>4</v>
      </c>
      <c r="E4" s="7" t="s">
        <v>5</v>
      </c>
      <c r="F4" s="7"/>
      <c r="G4" s="7" t="s">
        <v>6</v>
      </c>
      <c r="H4" s="7"/>
      <c r="I4" s="27"/>
    </row>
    <row r="5" s="1" customFormat="1" ht="18.75" spans="2:9">
      <c r="B5" s="8"/>
      <c r="C5" s="9"/>
      <c r="D5" s="9"/>
      <c r="E5" s="9" t="s">
        <v>7</v>
      </c>
      <c r="F5" s="9" t="s">
        <v>8</v>
      </c>
      <c r="G5" s="9" t="s">
        <v>7</v>
      </c>
      <c r="H5" s="9" t="s">
        <v>8</v>
      </c>
      <c r="I5" s="28" t="s">
        <v>9</v>
      </c>
    </row>
    <row r="6" s="1" customFormat="1" ht="18.75" spans="2:9">
      <c r="B6" s="10" t="s">
        <v>10</v>
      </c>
      <c r="C6" s="11"/>
      <c r="D6" s="11"/>
      <c r="E6" s="11">
        <f>SUM(E7:E65561)-SUMPRODUCT((C7:C65557=C10)*E7:E65557)</f>
        <v>322</v>
      </c>
      <c r="F6" s="12">
        <f t="shared" ref="F6:F22" si="0">E6/$E$6</f>
        <v>1</v>
      </c>
      <c r="G6" s="11">
        <f>SUM(G7:G65561)-SUMPRODUCT((C7:C65557=C10)*G7:G65557)</f>
        <v>170</v>
      </c>
      <c r="H6" s="12">
        <f t="shared" ref="H6:H22" si="1">G6/$G$6</f>
        <v>1</v>
      </c>
      <c r="I6" s="29">
        <f t="shared" ref="I6:I22" si="2">G6-E6</f>
        <v>-152</v>
      </c>
    </row>
    <row r="7" s="1" customFormat="1" spans="2:9">
      <c r="B7" s="13" t="s">
        <v>11</v>
      </c>
      <c r="C7" s="14" t="s">
        <v>12</v>
      </c>
      <c r="D7" s="14" t="s">
        <v>12</v>
      </c>
      <c r="E7" s="15">
        <v>1</v>
      </c>
      <c r="F7" s="16">
        <f t="shared" si="0"/>
        <v>0.0031055900621118</v>
      </c>
      <c r="G7" s="15">
        <v>1</v>
      </c>
      <c r="H7" s="16">
        <f t="shared" si="1"/>
        <v>0.00588235294117647</v>
      </c>
      <c r="I7" s="30">
        <f t="shared" si="2"/>
        <v>0</v>
      </c>
    </row>
    <row r="8" s="1" customFormat="1" spans="2:9">
      <c r="B8" s="17"/>
      <c r="C8" s="18" t="s">
        <v>13</v>
      </c>
      <c r="D8" s="18" t="s">
        <v>13</v>
      </c>
      <c r="E8" s="19">
        <v>2</v>
      </c>
      <c r="F8" s="20">
        <f t="shared" si="0"/>
        <v>0.0062111801242236</v>
      </c>
      <c r="G8" s="19">
        <v>2</v>
      </c>
      <c r="H8" s="20">
        <f t="shared" si="1"/>
        <v>0.0117647058823529</v>
      </c>
      <c r="I8" s="31">
        <f t="shared" si="2"/>
        <v>0</v>
      </c>
    </row>
    <row r="9" s="1" customFormat="1" spans="2:9">
      <c r="B9" s="17"/>
      <c r="C9" s="18" t="s">
        <v>14</v>
      </c>
      <c r="D9" s="18" t="s">
        <v>15</v>
      </c>
      <c r="E9" s="19">
        <v>4</v>
      </c>
      <c r="F9" s="20">
        <f t="shared" si="0"/>
        <v>0.0124223602484472</v>
      </c>
      <c r="G9" s="19">
        <v>2</v>
      </c>
      <c r="H9" s="20">
        <f t="shared" si="1"/>
        <v>0.0117647058823529</v>
      </c>
      <c r="I9" s="31">
        <f t="shared" si="2"/>
        <v>-2</v>
      </c>
    </row>
    <row r="10" s="1" customFormat="1" ht="18.75" spans="2:9">
      <c r="B10" s="21"/>
      <c r="C10" s="22" t="s">
        <v>16</v>
      </c>
      <c r="D10" s="22"/>
      <c r="E10" s="22">
        <f>SUM(E7:E9)</f>
        <v>7</v>
      </c>
      <c r="F10" s="23">
        <f>E10/$E$6</f>
        <v>0.0217391304347826</v>
      </c>
      <c r="G10" s="22">
        <f>SUM(G7:G9)</f>
        <v>5</v>
      </c>
      <c r="H10" s="23">
        <f t="shared" si="1"/>
        <v>0.0294117647058824</v>
      </c>
      <c r="I10" s="32">
        <f t="shared" si="2"/>
        <v>-2</v>
      </c>
    </row>
    <row r="11" s="1" customFormat="1" spans="2:9">
      <c r="B11" s="24" t="s">
        <v>17</v>
      </c>
      <c r="C11" s="15" t="s">
        <v>18</v>
      </c>
      <c r="D11" s="15" t="s">
        <v>19</v>
      </c>
      <c r="E11" s="15">
        <v>1</v>
      </c>
      <c r="F11" s="16">
        <f t="shared" si="0"/>
        <v>0.0031055900621118</v>
      </c>
      <c r="G11" s="15">
        <v>1</v>
      </c>
      <c r="H11" s="16">
        <f t="shared" si="1"/>
        <v>0.00588235294117647</v>
      </c>
      <c r="I11" s="30">
        <f t="shared" si="2"/>
        <v>0</v>
      </c>
    </row>
    <row r="12" s="1" customFormat="1" spans="2:9">
      <c r="B12" s="25"/>
      <c r="C12" s="19" t="s">
        <v>20</v>
      </c>
      <c r="D12" s="19" t="s">
        <v>21</v>
      </c>
      <c r="E12" s="19">
        <v>1</v>
      </c>
      <c r="F12" s="20">
        <f t="shared" si="0"/>
        <v>0.0031055900621118</v>
      </c>
      <c r="G12" s="19">
        <v>1</v>
      </c>
      <c r="H12" s="20">
        <f t="shared" si="1"/>
        <v>0.00588235294117647</v>
      </c>
      <c r="I12" s="31">
        <f t="shared" si="2"/>
        <v>0</v>
      </c>
    </row>
    <row r="13" s="1" customFormat="1" spans="2:9">
      <c r="B13" s="25"/>
      <c r="C13" s="19" t="s">
        <v>22</v>
      </c>
      <c r="D13" s="19" t="s">
        <v>15</v>
      </c>
      <c r="E13" s="19">
        <v>7</v>
      </c>
      <c r="F13" s="20">
        <f t="shared" si="0"/>
        <v>0.0217391304347826</v>
      </c>
      <c r="G13" s="19">
        <v>5</v>
      </c>
      <c r="H13" s="20">
        <f t="shared" si="1"/>
        <v>0.0294117647058824</v>
      </c>
      <c r="I13" s="31">
        <f t="shared" si="2"/>
        <v>-2</v>
      </c>
    </row>
    <row r="14" s="1" customFormat="1" spans="2:9">
      <c r="B14" s="25"/>
      <c r="C14" s="19" t="s">
        <v>23</v>
      </c>
      <c r="D14" s="19" t="s">
        <v>24</v>
      </c>
      <c r="E14" s="19">
        <v>4</v>
      </c>
      <c r="F14" s="20">
        <f t="shared" si="0"/>
        <v>0.0124223602484472</v>
      </c>
      <c r="G14" s="19">
        <v>2</v>
      </c>
      <c r="H14" s="20">
        <f t="shared" si="1"/>
        <v>0.0117647058823529</v>
      </c>
      <c r="I14" s="31">
        <f t="shared" si="2"/>
        <v>-2</v>
      </c>
    </row>
    <row r="15" s="1" customFormat="1" ht="18.75" spans="2:9">
      <c r="B15" s="26"/>
      <c r="C15" s="22" t="s">
        <v>16</v>
      </c>
      <c r="D15" s="22"/>
      <c r="E15" s="22">
        <f>SUM(E11:E14)</f>
        <v>13</v>
      </c>
      <c r="F15" s="23">
        <f t="shared" si="0"/>
        <v>0.0403726708074534</v>
      </c>
      <c r="G15" s="22">
        <f>SUM(G11:G14)</f>
        <v>9</v>
      </c>
      <c r="H15" s="23">
        <f t="shared" si="1"/>
        <v>0.0529411764705882</v>
      </c>
      <c r="I15" s="32">
        <f t="shared" si="2"/>
        <v>-4</v>
      </c>
    </row>
    <row r="16" s="1" customFormat="1" spans="2:9">
      <c r="B16" s="13" t="s">
        <v>25</v>
      </c>
      <c r="C16" s="14" t="s">
        <v>26</v>
      </c>
      <c r="D16" s="15" t="s">
        <v>19</v>
      </c>
      <c r="E16" s="15">
        <v>1</v>
      </c>
      <c r="F16" s="16">
        <f t="shared" si="0"/>
        <v>0.0031055900621118</v>
      </c>
      <c r="G16" s="15">
        <v>1</v>
      </c>
      <c r="H16" s="16">
        <f t="shared" si="1"/>
        <v>0.00588235294117647</v>
      </c>
      <c r="I16" s="30">
        <f t="shared" si="2"/>
        <v>0</v>
      </c>
    </row>
    <row r="17" s="1" customFormat="1" spans="2:9">
      <c r="B17" s="17"/>
      <c r="C17" s="18" t="s">
        <v>27</v>
      </c>
      <c r="D17" s="19" t="s">
        <v>21</v>
      </c>
      <c r="E17" s="19">
        <v>1</v>
      </c>
      <c r="F17" s="20">
        <f t="shared" si="0"/>
        <v>0.0031055900621118</v>
      </c>
      <c r="G17" s="19">
        <v>1</v>
      </c>
      <c r="H17" s="20">
        <f t="shared" si="1"/>
        <v>0.00588235294117647</v>
      </c>
      <c r="I17" s="31">
        <f t="shared" si="2"/>
        <v>0</v>
      </c>
    </row>
    <row r="18" s="1" customFormat="1" spans="2:9">
      <c r="B18" s="17"/>
      <c r="C18" s="18" t="s">
        <v>28</v>
      </c>
      <c r="D18" s="19" t="s">
        <v>15</v>
      </c>
      <c r="E18" s="19">
        <v>6</v>
      </c>
      <c r="F18" s="20">
        <f t="shared" si="0"/>
        <v>0.0186335403726708</v>
      </c>
      <c r="G18" s="19">
        <v>3</v>
      </c>
      <c r="H18" s="20">
        <f t="shared" si="1"/>
        <v>0.0176470588235294</v>
      </c>
      <c r="I18" s="31">
        <f t="shared" si="2"/>
        <v>-3</v>
      </c>
    </row>
    <row r="19" s="1" customFormat="1" spans="2:9">
      <c r="B19" s="17"/>
      <c r="C19" s="18" t="s">
        <v>29</v>
      </c>
      <c r="D19" s="19" t="s">
        <v>15</v>
      </c>
      <c r="E19" s="19">
        <v>2</v>
      </c>
      <c r="F19" s="20">
        <f t="shared" si="0"/>
        <v>0.0062111801242236</v>
      </c>
      <c r="G19" s="19">
        <v>1</v>
      </c>
      <c r="H19" s="20">
        <f t="shared" si="1"/>
        <v>0.00588235294117647</v>
      </c>
      <c r="I19" s="31">
        <f t="shared" si="2"/>
        <v>-1</v>
      </c>
    </row>
    <row r="20" s="1" customFormat="1" ht="18.75" spans="2:9">
      <c r="B20" s="21"/>
      <c r="C20" s="22" t="s">
        <v>16</v>
      </c>
      <c r="D20" s="22"/>
      <c r="E20" s="22">
        <f>SUM(E16:E19)</f>
        <v>10</v>
      </c>
      <c r="F20" s="23">
        <f t="shared" si="0"/>
        <v>0.031055900621118</v>
      </c>
      <c r="G20" s="22">
        <f>SUM(G16:G19)</f>
        <v>6</v>
      </c>
      <c r="H20" s="23">
        <f t="shared" si="1"/>
        <v>0.0352941176470588</v>
      </c>
      <c r="I20" s="32">
        <f t="shared" si="2"/>
        <v>-4</v>
      </c>
    </row>
    <row r="21" s="1" customFormat="1" spans="2:9">
      <c r="B21" s="24" t="s">
        <v>30</v>
      </c>
      <c r="C21" s="14" t="s">
        <v>31</v>
      </c>
      <c r="D21" s="15" t="s">
        <v>19</v>
      </c>
      <c r="E21" s="15">
        <v>1</v>
      </c>
      <c r="F21" s="16">
        <f t="shared" si="0"/>
        <v>0.0031055900621118</v>
      </c>
      <c r="G21" s="15">
        <v>1</v>
      </c>
      <c r="H21" s="16">
        <f t="shared" si="1"/>
        <v>0.00588235294117647</v>
      </c>
      <c r="I21" s="30">
        <f t="shared" si="2"/>
        <v>0</v>
      </c>
    </row>
    <row r="22" s="1" customFormat="1" spans="2:9">
      <c r="B22" s="25"/>
      <c r="C22" s="18" t="s">
        <v>32</v>
      </c>
      <c r="D22" s="19" t="s">
        <v>21</v>
      </c>
      <c r="E22" s="19">
        <v>1</v>
      </c>
      <c r="F22" s="20">
        <f t="shared" si="0"/>
        <v>0.0031055900621118</v>
      </c>
      <c r="G22" s="19">
        <v>1</v>
      </c>
      <c r="H22" s="20">
        <f t="shared" si="1"/>
        <v>0.00588235294117647</v>
      </c>
      <c r="I22" s="31">
        <f t="shared" si="2"/>
        <v>0</v>
      </c>
    </row>
    <row r="23" s="1" customFormat="1" spans="2:9">
      <c r="B23" s="25"/>
      <c r="C23" s="18" t="s">
        <v>33</v>
      </c>
      <c r="D23" s="19" t="s">
        <v>34</v>
      </c>
      <c r="E23" s="19">
        <v>3</v>
      </c>
      <c r="F23" s="20">
        <f>E23/$E$6</f>
        <v>0.0093167701863354</v>
      </c>
      <c r="G23" s="19">
        <v>2</v>
      </c>
      <c r="H23" s="20">
        <f>G23/$G$6</f>
        <v>0.0117647058823529</v>
      </c>
      <c r="I23" s="31">
        <f>G23-E23</f>
        <v>-1</v>
      </c>
    </row>
    <row r="24" s="1" customFormat="1" spans="2:9">
      <c r="B24" s="25"/>
      <c r="C24" s="18" t="s">
        <v>35</v>
      </c>
      <c r="D24" s="19" t="s">
        <v>15</v>
      </c>
      <c r="E24" s="19">
        <v>8</v>
      </c>
      <c r="F24" s="20">
        <f>E24/$E$6</f>
        <v>0.0248447204968944</v>
      </c>
      <c r="G24" s="19">
        <v>6</v>
      </c>
      <c r="H24" s="20">
        <f>G24/$G$6</f>
        <v>0.0352941176470588</v>
      </c>
      <c r="I24" s="31">
        <f>G24-E24</f>
        <v>-2</v>
      </c>
    </row>
    <row r="25" s="1" customFormat="1" spans="2:9">
      <c r="B25" s="25"/>
      <c r="C25" s="18" t="s">
        <v>36</v>
      </c>
      <c r="D25" s="19" t="s">
        <v>15</v>
      </c>
      <c r="E25" s="19">
        <v>4</v>
      </c>
      <c r="F25" s="20">
        <f>E25/$E$6</f>
        <v>0.0124223602484472</v>
      </c>
      <c r="G25" s="19">
        <v>2</v>
      </c>
      <c r="H25" s="20">
        <f>G25/$G$6</f>
        <v>0.0117647058823529</v>
      </c>
      <c r="I25" s="31">
        <f>G25-E25</f>
        <v>-2</v>
      </c>
    </row>
    <row r="26" s="1" customFormat="1" ht="18.75" spans="2:9">
      <c r="B26" s="26"/>
      <c r="C26" s="22" t="s">
        <v>16</v>
      </c>
      <c r="D26" s="22"/>
      <c r="E26" s="22">
        <f>SUM(E21:E25)</f>
        <v>17</v>
      </c>
      <c r="F26" s="23">
        <f>E26/$E$6</f>
        <v>0.0527950310559006</v>
      </c>
      <c r="G26" s="22">
        <f>SUM(G21:G25)</f>
        <v>12</v>
      </c>
      <c r="H26" s="23">
        <f>G26/$G$6</f>
        <v>0.0705882352941176</v>
      </c>
      <c r="I26" s="32">
        <f>G26-E26</f>
        <v>-5</v>
      </c>
    </row>
    <row r="27" s="1" customFormat="1" spans="2:9">
      <c r="B27" s="13" t="s">
        <v>37</v>
      </c>
      <c r="C27" s="14" t="s">
        <v>38</v>
      </c>
      <c r="D27" s="15" t="s">
        <v>19</v>
      </c>
      <c r="E27" s="15">
        <v>1</v>
      </c>
      <c r="F27" s="16">
        <f>E27/$E$6</f>
        <v>0.0031055900621118</v>
      </c>
      <c r="G27" s="15">
        <v>1</v>
      </c>
      <c r="H27" s="16">
        <f>G27/$G$6</f>
        <v>0.00588235294117647</v>
      </c>
      <c r="I27" s="30">
        <f>G27-E27</f>
        <v>0</v>
      </c>
    </row>
    <row r="28" s="1" customFormat="1" spans="2:9">
      <c r="B28" s="17"/>
      <c r="C28" s="18" t="s">
        <v>39</v>
      </c>
      <c r="D28" s="19" t="s">
        <v>21</v>
      </c>
      <c r="E28" s="19">
        <v>4</v>
      </c>
      <c r="F28" s="20">
        <f>E28/$E$6</f>
        <v>0.0124223602484472</v>
      </c>
      <c r="G28" s="19">
        <v>2</v>
      </c>
      <c r="H28" s="20">
        <f>G28/$G$6</f>
        <v>0.0117647058823529</v>
      </c>
      <c r="I28" s="31">
        <f>G28-E28</f>
        <v>-2</v>
      </c>
    </row>
    <row r="29" s="1" customFormat="1" spans="2:9">
      <c r="B29" s="17"/>
      <c r="C29" s="18" t="s">
        <v>40</v>
      </c>
      <c r="D29" s="19" t="s">
        <v>34</v>
      </c>
      <c r="E29" s="19">
        <v>12</v>
      </c>
      <c r="F29" s="20">
        <f>E29/$E$6</f>
        <v>0.0372670807453416</v>
      </c>
      <c r="G29" s="19">
        <v>6</v>
      </c>
      <c r="H29" s="20">
        <f>G29/$G$6</f>
        <v>0.0352941176470588</v>
      </c>
      <c r="I29" s="31">
        <f>G29-E29</f>
        <v>-6</v>
      </c>
    </row>
    <row r="30" s="1" customFormat="1" spans="2:9">
      <c r="B30" s="17"/>
      <c r="C30" s="18" t="s">
        <v>41</v>
      </c>
      <c r="D30" s="19" t="s">
        <v>15</v>
      </c>
      <c r="E30" s="19">
        <v>95</v>
      </c>
      <c r="F30" s="20">
        <f t="shared" ref="F30:F45" si="3">E30/$E$6</f>
        <v>0.295031055900621</v>
      </c>
      <c r="G30" s="19">
        <v>50</v>
      </c>
      <c r="H30" s="20">
        <f t="shared" ref="H30:H45" si="4">G30/$G$6</f>
        <v>0.294117647058824</v>
      </c>
      <c r="I30" s="31">
        <f t="shared" ref="I30:I45" si="5">G30-E30</f>
        <v>-45</v>
      </c>
    </row>
    <row r="31" s="1" customFormat="1" spans="2:9">
      <c r="B31" s="17"/>
      <c r="C31" s="18" t="s">
        <v>42</v>
      </c>
      <c r="D31" s="19" t="s">
        <v>24</v>
      </c>
      <c r="E31" s="19">
        <v>23</v>
      </c>
      <c r="F31" s="20">
        <f t="shared" si="3"/>
        <v>0.0714285714285714</v>
      </c>
      <c r="G31" s="19">
        <v>10</v>
      </c>
      <c r="H31" s="20">
        <f t="shared" si="4"/>
        <v>0.0588235294117647</v>
      </c>
      <c r="I31" s="31">
        <f t="shared" si="5"/>
        <v>-13</v>
      </c>
    </row>
    <row r="32" s="1" customFormat="1" ht="18.75" spans="2:9">
      <c r="B32" s="21"/>
      <c r="C32" s="22" t="s">
        <v>16</v>
      </c>
      <c r="D32" s="22"/>
      <c r="E32" s="22">
        <f>SUM(E27:E31)</f>
        <v>135</v>
      </c>
      <c r="F32" s="23">
        <f t="shared" si="3"/>
        <v>0.419254658385093</v>
      </c>
      <c r="G32" s="22">
        <f>SUM(G27:G31)</f>
        <v>69</v>
      </c>
      <c r="H32" s="23">
        <f t="shared" si="4"/>
        <v>0.405882352941176</v>
      </c>
      <c r="I32" s="32">
        <f t="shared" si="5"/>
        <v>-66</v>
      </c>
    </row>
    <row r="33" s="1" customFormat="1" spans="2:9">
      <c r="B33" s="24" t="s">
        <v>43</v>
      </c>
      <c r="C33" s="14" t="s">
        <v>44</v>
      </c>
      <c r="D33" s="15" t="s">
        <v>19</v>
      </c>
      <c r="E33" s="15">
        <v>1</v>
      </c>
      <c r="F33" s="16">
        <f t="shared" si="3"/>
        <v>0.0031055900621118</v>
      </c>
      <c r="G33" s="15">
        <v>1</v>
      </c>
      <c r="H33" s="16">
        <f t="shared" si="4"/>
        <v>0.00588235294117647</v>
      </c>
      <c r="I33" s="30">
        <f t="shared" si="5"/>
        <v>0</v>
      </c>
    </row>
    <row r="34" s="1" customFormat="1" spans="2:9">
      <c r="B34" s="25"/>
      <c r="C34" s="18" t="s">
        <v>45</v>
      </c>
      <c r="D34" s="19" t="s">
        <v>21</v>
      </c>
      <c r="E34" s="19">
        <v>2</v>
      </c>
      <c r="F34" s="20">
        <f t="shared" si="3"/>
        <v>0.0062111801242236</v>
      </c>
      <c r="G34" s="19">
        <v>1</v>
      </c>
      <c r="H34" s="20">
        <f t="shared" si="4"/>
        <v>0.00588235294117647</v>
      </c>
      <c r="I34" s="31">
        <f t="shared" si="5"/>
        <v>-1</v>
      </c>
    </row>
    <row r="35" s="1" customFormat="1" spans="2:9">
      <c r="B35" s="25"/>
      <c r="C35" s="18" t="s">
        <v>46</v>
      </c>
      <c r="D35" s="19" t="s">
        <v>15</v>
      </c>
      <c r="E35" s="19">
        <v>11</v>
      </c>
      <c r="F35" s="20">
        <f t="shared" si="3"/>
        <v>0.0341614906832298</v>
      </c>
      <c r="G35" s="19">
        <v>5</v>
      </c>
      <c r="H35" s="20">
        <f t="shared" si="4"/>
        <v>0.0294117647058824</v>
      </c>
      <c r="I35" s="31">
        <f t="shared" si="5"/>
        <v>-6</v>
      </c>
    </row>
    <row r="36" s="1" customFormat="1" ht="18.75" spans="2:9">
      <c r="B36" s="26"/>
      <c r="C36" s="22" t="s">
        <v>16</v>
      </c>
      <c r="D36" s="22"/>
      <c r="E36" s="22">
        <f>SUM(E33:E35)</f>
        <v>14</v>
      </c>
      <c r="F36" s="23">
        <f t="shared" si="3"/>
        <v>0.0434782608695652</v>
      </c>
      <c r="G36" s="22">
        <f>SUM(G33:G35)</f>
        <v>7</v>
      </c>
      <c r="H36" s="23">
        <f t="shared" si="4"/>
        <v>0.0411764705882353</v>
      </c>
      <c r="I36" s="32">
        <f t="shared" si="5"/>
        <v>-7</v>
      </c>
    </row>
    <row r="37" s="1" customFormat="1" spans="2:9">
      <c r="B37" s="13" t="s">
        <v>47</v>
      </c>
      <c r="C37" s="15" t="s">
        <v>48</v>
      </c>
      <c r="D37" s="15" t="s">
        <v>19</v>
      </c>
      <c r="E37" s="15">
        <v>1</v>
      </c>
      <c r="F37" s="16">
        <f t="shared" si="3"/>
        <v>0.0031055900621118</v>
      </c>
      <c r="G37" s="15">
        <v>1</v>
      </c>
      <c r="H37" s="16">
        <f t="shared" si="4"/>
        <v>0.00588235294117647</v>
      </c>
      <c r="I37" s="30">
        <f t="shared" si="5"/>
        <v>0</v>
      </c>
    </row>
    <row r="38" s="1" customFormat="1" spans="2:9">
      <c r="B38" s="17"/>
      <c r="C38" s="19" t="s">
        <v>49</v>
      </c>
      <c r="D38" s="19" t="s">
        <v>21</v>
      </c>
      <c r="E38" s="19">
        <v>4</v>
      </c>
      <c r="F38" s="20">
        <f t="shared" si="3"/>
        <v>0.0124223602484472</v>
      </c>
      <c r="G38" s="19">
        <v>2</v>
      </c>
      <c r="H38" s="20">
        <f t="shared" si="4"/>
        <v>0.0117647058823529</v>
      </c>
      <c r="I38" s="31">
        <f t="shared" si="5"/>
        <v>-2</v>
      </c>
    </row>
    <row r="39" s="1" customFormat="1" spans="2:9">
      <c r="B39" s="17"/>
      <c r="C39" s="19" t="s">
        <v>50</v>
      </c>
      <c r="D39" s="19" t="s">
        <v>34</v>
      </c>
      <c r="E39" s="19">
        <v>12</v>
      </c>
      <c r="F39" s="20">
        <f>E39/$E$6</f>
        <v>0.0372670807453416</v>
      </c>
      <c r="G39" s="19">
        <v>6</v>
      </c>
      <c r="H39" s="20">
        <f>G39/$G$6</f>
        <v>0.0352941176470588</v>
      </c>
      <c r="I39" s="31">
        <f>G39-E39</f>
        <v>-6</v>
      </c>
    </row>
    <row r="40" s="1" customFormat="1" spans="2:9">
      <c r="B40" s="17"/>
      <c r="C40" s="19" t="s">
        <v>51</v>
      </c>
      <c r="D40" s="19" t="s">
        <v>15</v>
      </c>
      <c r="E40" s="19">
        <v>58</v>
      </c>
      <c r="F40" s="20">
        <f>E40/$E$6</f>
        <v>0.180124223602484</v>
      </c>
      <c r="G40" s="19">
        <v>30</v>
      </c>
      <c r="H40" s="20">
        <f>G40/$G$6</f>
        <v>0.176470588235294</v>
      </c>
      <c r="I40" s="31">
        <f>G40-E40</f>
        <v>-28</v>
      </c>
    </row>
    <row r="41" s="1" customFormat="1" spans="2:9">
      <c r="B41" s="17"/>
      <c r="C41" s="19" t="s">
        <v>52</v>
      </c>
      <c r="D41" s="19" t="s">
        <v>15</v>
      </c>
      <c r="E41" s="19">
        <v>37</v>
      </c>
      <c r="F41" s="20">
        <f>E41/$E$6</f>
        <v>0.114906832298137</v>
      </c>
      <c r="G41" s="19">
        <v>15</v>
      </c>
      <c r="H41" s="20">
        <f>G41/$G$6</f>
        <v>0.0882352941176471</v>
      </c>
      <c r="I41" s="31">
        <f>G41-E41</f>
        <v>-22</v>
      </c>
    </row>
    <row r="42" s="1" customFormat="1" ht="18.75" spans="2:9">
      <c r="B42" s="21"/>
      <c r="C42" s="22" t="s">
        <v>16</v>
      </c>
      <c r="D42" s="22"/>
      <c r="E42" s="22">
        <f>SUM(E37:E41)</f>
        <v>112</v>
      </c>
      <c r="F42" s="23">
        <f>E42/$E$6</f>
        <v>0.347826086956522</v>
      </c>
      <c r="G42" s="22">
        <f>SUM(G37:G41)</f>
        <v>54</v>
      </c>
      <c r="H42" s="23">
        <f>G42/$G$6</f>
        <v>0.317647058823529</v>
      </c>
      <c r="I42" s="32">
        <f>G42-E42</f>
        <v>-58</v>
      </c>
    </row>
    <row r="43" s="1" customFormat="1" spans="2:9">
      <c r="B43" s="24" t="s">
        <v>53</v>
      </c>
      <c r="C43" s="15" t="s">
        <v>54</v>
      </c>
      <c r="D43" s="15" t="s">
        <v>19</v>
      </c>
      <c r="E43" s="15">
        <v>1</v>
      </c>
      <c r="F43" s="16">
        <f>E43/$E$6</f>
        <v>0.0031055900621118</v>
      </c>
      <c r="G43" s="15">
        <v>1</v>
      </c>
      <c r="H43" s="16">
        <f>G43/$G$6</f>
        <v>0.00588235294117647</v>
      </c>
      <c r="I43" s="30">
        <f>G43-E43</f>
        <v>0</v>
      </c>
    </row>
    <row r="44" s="1" customFormat="1" spans="2:9">
      <c r="B44" s="25"/>
      <c r="C44" s="19" t="s">
        <v>55</v>
      </c>
      <c r="D44" s="19" t="s">
        <v>21</v>
      </c>
      <c r="E44" s="19">
        <v>1</v>
      </c>
      <c r="F44" s="20">
        <f>E44/$E$6</f>
        <v>0.0031055900621118</v>
      </c>
      <c r="G44" s="19">
        <v>1</v>
      </c>
      <c r="H44" s="20">
        <f>G44/$G$6</f>
        <v>0.00588235294117647</v>
      </c>
      <c r="I44" s="31">
        <f>G44-E44</f>
        <v>0</v>
      </c>
    </row>
    <row r="45" s="1" customFormat="1" spans="2:9">
      <c r="B45" s="25"/>
      <c r="C45" s="19" t="s">
        <v>56</v>
      </c>
      <c r="D45" s="19" t="s">
        <v>15</v>
      </c>
      <c r="E45" s="19">
        <v>12</v>
      </c>
      <c r="F45" s="20">
        <f>E45/$E$6</f>
        <v>0.0372670807453416</v>
      </c>
      <c r="G45" s="19">
        <v>6</v>
      </c>
      <c r="H45" s="20">
        <f>G45/$G$6</f>
        <v>0.0352941176470588</v>
      </c>
      <c r="I45" s="31">
        <f>G45-E45</f>
        <v>-6</v>
      </c>
    </row>
    <row r="46" s="1" customFormat="1" ht="18.75" spans="2:9">
      <c r="B46" s="26"/>
      <c r="C46" s="22" t="s">
        <v>16</v>
      </c>
      <c r="D46" s="22"/>
      <c r="E46" s="22">
        <f>SUM(E43:E45)</f>
        <v>14</v>
      </c>
      <c r="F46" s="23">
        <f>E46/$E$6</f>
        <v>0.0434782608695652</v>
      </c>
      <c r="G46" s="22">
        <f>SUM(G43:G45)</f>
        <v>8</v>
      </c>
      <c r="H46" s="23">
        <f>G46/$G$6</f>
        <v>0.0470588235294118</v>
      </c>
      <c r="I46" s="32">
        <f>G46-E46</f>
        <v>-6</v>
      </c>
    </row>
    <row r="47" s="1" customFormat="1" ht="7" customHeight="1" spans="2:4">
      <c r="B47" s="3"/>
      <c r="C47" s="3"/>
      <c r="D47" s="3"/>
    </row>
  </sheetData>
  <mergeCells count="24">
    <mergeCell ref="B2:I2"/>
    <mergeCell ref="B3:I3"/>
    <mergeCell ref="E4:F4"/>
    <mergeCell ref="G4:I4"/>
    <mergeCell ref="B6:D6"/>
    <mergeCell ref="C10:D10"/>
    <mergeCell ref="C15:D15"/>
    <mergeCell ref="C20:D20"/>
    <mergeCell ref="C26:D26"/>
    <mergeCell ref="C32:D32"/>
    <mergeCell ref="C36:D36"/>
    <mergeCell ref="C42:D42"/>
    <mergeCell ref="C46:D46"/>
    <mergeCell ref="B4:B5"/>
    <mergeCell ref="B7:B10"/>
    <mergeCell ref="B11:B15"/>
    <mergeCell ref="B16:B20"/>
    <mergeCell ref="B21:B26"/>
    <mergeCell ref="B27:B32"/>
    <mergeCell ref="B33:B36"/>
    <mergeCell ref="B37:B42"/>
    <mergeCell ref="B43:B46"/>
    <mergeCell ref="C4:C5"/>
    <mergeCell ref="D4:D5"/>
  </mergeCells>
  <pageMargins left="0.699305555555556" right="0.699305555555556" top="0.75" bottom="0.75" header="0.3" footer="0.3"/>
  <pageSetup paperSize="9" orientation="portrait"/>
  <headerFooter/>
  <ignoredErrors>
    <ignoredError sqref="F10:I46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2025年度人员编制增减表（扩员版）</vt:lpstr>
      <vt:lpstr>2025年度人员编制增减表（裁员版）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莫菲</dc:creator>
  <cp:lastModifiedBy>莫菲</cp:lastModifiedBy>
  <dcterms:created xsi:type="dcterms:W3CDTF">2024-12-04T02:25:46Z</dcterms:created>
  <dcterms:modified xsi:type="dcterms:W3CDTF">2024-12-04T03:25:22Z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FFECC91D984B4D60A0046A7F7A4FC3E1_11</vt:lpwstr>
  </property>
  <property fmtid="{D5CDD505-2E9C-101B-9397-08002B2CF9AE}" pid="3" name="KSOProductBuildVer">
    <vt:lpwstr>2052-12.1.0.19302</vt:lpwstr>
  </property>
</Properties>
</file>