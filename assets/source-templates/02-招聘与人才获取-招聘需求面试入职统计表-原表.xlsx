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60" activeTab="2"/>
  </bookViews>
  <sheets>
    <sheet name="Sheet1" sheetId="1" r:id="rId1"/>
    <sheet name="面试预约入职信息表" sheetId="2" r:id="rId2"/>
    <sheet name="使用说明" sheetId="3" r:id="rId3"/>
  </sheets>
  <calcPr calcId="144525"/>
</workbook>
</file>

<file path=xl/sharedStrings.xml><?xml version="1.0" encoding="utf-8"?>
<sst xmlns="http://schemas.openxmlformats.org/spreadsheetml/2006/main" count="305" uniqueCount="108">
  <si>
    <t>招聘需求面试入职统计表</t>
  </si>
  <si>
    <t>序号</t>
  </si>
  <si>
    <t>部门名称</t>
  </si>
  <si>
    <t>需求人数</t>
  </si>
  <si>
    <t>面试人数</t>
  </si>
  <si>
    <t>通过人数</t>
  </si>
  <si>
    <t>入职人数</t>
  </si>
  <si>
    <t>入职总数</t>
  </si>
  <si>
    <t>入职率</t>
  </si>
  <si>
    <t>备注</t>
  </si>
  <si>
    <t>BOSS</t>
  </si>
  <si>
    <t>前程</t>
  </si>
  <si>
    <t>智联</t>
  </si>
  <si>
    <t>赶集网</t>
  </si>
  <si>
    <t>其他</t>
  </si>
  <si>
    <t>部门1</t>
  </si>
  <si>
    <t>部门2</t>
  </si>
  <si>
    <t>部门3</t>
  </si>
  <si>
    <t>部门4</t>
  </si>
  <si>
    <t>部门5</t>
  </si>
  <si>
    <t>部门6</t>
  </si>
  <si>
    <t>部门7</t>
  </si>
  <si>
    <t>部门8</t>
  </si>
  <si>
    <t>部门9</t>
  </si>
  <si>
    <t>部门10</t>
  </si>
  <si>
    <t>部门11</t>
  </si>
  <si>
    <t>部门12</t>
  </si>
  <si>
    <t>预约面试入职登记表</t>
  </si>
  <si>
    <t>预约日期</t>
  </si>
  <si>
    <t>姓名</t>
  </si>
  <si>
    <t>性别</t>
  </si>
  <si>
    <t>年龄</t>
  </si>
  <si>
    <t>面试部门</t>
  </si>
  <si>
    <t>联系方式</t>
  </si>
  <si>
    <t>招聘渠道</t>
  </si>
  <si>
    <t>面试结果</t>
  </si>
  <si>
    <t>是否通过</t>
  </si>
  <si>
    <t>是否入职</t>
  </si>
  <si>
    <t>入职日期</t>
  </si>
  <si>
    <t>一轮</t>
  </si>
  <si>
    <t>当前年份</t>
  </si>
  <si>
    <t>王王1</t>
  </si>
  <si>
    <t>男</t>
  </si>
  <si>
    <t>158xxxx9854</t>
  </si>
  <si>
    <t>☑</t>
  </si>
  <si>
    <t>月份</t>
  </si>
  <si>
    <t>王王2</t>
  </si>
  <si>
    <t>132xxxx5698</t>
  </si>
  <si>
    <t>1月</t>
  </si>
  <si>
    <t>王王3</t>
  </si>
  <si>
    <t>女</t>
  </si>
  <si>
    <t>159xxxx4587</t>
  </si>
  <si>
    <t>☒</t>
  </si>
  <si>
    <t>□</t>
  </si>
  <si>
    <t>2月</t>
  </si>
  <si>
    <t>王王4</t>
  </si>
  <si>
    <t>136xxxx5965</t>
  </si>
  <si>
    <t>3月</t>
  </si>
  <si>
    <t>王王5</t>
  </si>
  <si>
    <t>155xxxx9854</t>
  </si>
  <si>
    <t>4月</t>
  </si>
  <si>
    <t>王王6</t>
  </si>
  <si>
    <t>131xxxx5874</t>
  </si>
  <si>
    <t>5月</t>
  </si>
  <si>
    <t>王王7</t>
  </si>
  <si>
    <t>158xxxx9855</t>
  </si>
  <si>
    <t>6月</t>
  </si>
  <si>
    <t>王王8</t>
  </si>
  <si>
    <t>132xxxx5699</t>
  </si>
  <si>
    <t>7月</t>
  </si>
  <si>
    <t>王王9</t>
  </si>
  <si>
    <t>159xxxx4588</t>
  </si>
  <si>
    <t>8月</t>
  </si>
  <si>
    <t>王王10</t>
  </si>
  <si>
    <t>136xxxx5966</t>
  </si>
  <si>
    <t>9月</t>
  </si>
  <si>
    <t>王王11</t>
  </si>
  <si>
    <t>155xxxx9855</t>
  </si>
  <si>
    <t>10月</t>
  </si>
  <si>
    <t>王王12</t>
  </si>
  <si>
    <t>131xxxx5875</t>
  </si>
  <si>
    <t>11月</t>
  </si>
  <si>
    <t>王王13</t>
  </si>
  <si>
    <t>158xxxx9856</t>
  </si>
  <si>
    <t>12月</t>
  </si>
  <si>
    <t>王王14</t>
  </si>
  <si>
    <t>132xxxx5700</t>
  </si>
  <si>
    <t>合计</t>
  </si>
  <si>
    <t>王王15</t>
  </si>
  <si>
    <t>王王16</t>
  </si>
  <si>
    <t>累计面试</t>
  </si>
  <si>
    <t>王王17</t>
  </si>
  <si>
    <t>累计入职</t>
  </si>
  <si>
    <t>王王18</t>
  </si>
  <si>
    <t>159xxxx4589</t>
  </si>
  <si>
    <t>今日面试</t>
  </si>
  <si>
    <t>王王19</t>
  </si>
  <si>
    <t>136xxxx5967</t>
  </si>
  <si>
    <t>本月入职</t>
  </si>
  <si>
    <t>王王20</t>
  </si>
  <si>
    <t>155xxxx9856</t>
  </si>
  <si>
    <t>王王21</t>
  </si>
  <si>
    <t>131xxxx5876</t>
  </si>
  <si>
    <t>王王22</t>
  </si>
  <si>
    <t>158xxxx9857</t>
  </si>
  <si>
    <t>王王23</t>
  </si>
  <si>
    <t>132xxxx5701</t>
  </si>
  <si>
    <t>王王24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</si>
</sst>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年&quot;"/>
    <numFmt numFmtId="177" formatCode="0&quot;月&quot;"/>
  </numFmts>
  <fonts count="31">
    <font>
      <sz val="11"/>
      <color theme="1"/>
      <name val="汉仪文黑-55简"/>
      <charset val="134"/>
    </font>
    <font>
      <sz val="11"/>
      <color theme="1"/>
      <name val="宋体"/>
      <charset val="134"/>
      <scheme val="minor"/>
    </font>
    <font>
      <sz val="12"/>
      <color theme="1"/>
      <name val="汉仪文黑-55简"/>
      <charset val="134"/>
    </font>
    <font>
      <sz val="11"/>
      <color theme="0" tint="-0.249977111117893"/>
      <name val="汉仪文黑-55简"/>
      <charset val="134"/>
    </font>
    <font>
      <sz val="20"/>
      <color theme="1"/>
      <name val="汉仪文黑-55简"/>
      <charset val="134"/>
    </font>
    <font>
      <b/>
      <sz val="12"/>
      <color theme="0"/>
      <name val="汉仪文黑-55简"/>
      <charset val="134"/>
    </font>
    <font>
      <sz val="20"/>
      <color theme="0" tint="-0.249977111117893"/>
      <name val="汉仪文黑-55简"/>
      <charset val="134"/>
    </font>
    <font>
      <b/>
      <sz val="11"/>
      <color theme="0"/>
      <name val="汉仪文黑-55简"/>
      <charset val="134"/>
    </font>
    <font>
      <sz val="11"/>
      <color theme="0" tint="-0.249977111117893"/>
      <name val="宋体"/>
      <charset val="134"/>
    </font>
    <font>
      <sz val="18"/>
      <color theme="1"/>
      <name val="汉仪文黑-55简"/>
      <charset val="134"/>
    </font>
    <font>
      <sz val="12"/>
      <color theme="0"/>
      <name val="汉仪润圆-65简"/>
      <charset val="134"/>
    </font>
    <font>
      <sz val="12"/>
      <color rgb="FF5983FD"/>
      <name val="汉仪润圆-65简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5983FD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 tint="-0.149998474074526"/>
      </left>
      <right style="thin">
        <color theme="0" tint="-0.149998474074526"/>
      </right>
      <top/>
      <bottom style="thin">
        <color theme="0" tint="-0.149998474074526"/>
      </bottom>
      <diagonal/>
    </border>
    <border>
      <left style="thin">
        <color theme="0" tint="-0.149998474074526"/>
      </left>
      <right style="thin">
        <color theme="0" tint="-0.149998474074526"/>
      </right>
      <top style="thin">
        <color theme="0" tint="-0.149998474074526"/>
      </top>
      <bottom style="thin">
        <color theme="0" tint="-0.149998474074526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5"/>
      </left>
      <right style="thin">
        <color theme="0" tint="-0.25"/>
      </right>
      <top/>
      <bottom style="thin">
        <color theme="0" tint="-0.25"/>
      </bottom>
      <diagonal/>
    </border>
    <border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3" fillId="4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8" borderId="11" applyNumberFormat="0" applyFon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24" fillId="12" borderId="14" applyNumberFormat="0" applyAlignment="0" applyProtection="0">
      <alignment vertical="center"/>
    </xf>
    <xf numFmtId="0" fontId="25" fillId="12" borderId="10" applyNumberFormat="0" applyAlignment="0" applyProtection="0">
      <alignment vertical="center"/>
    </xf>
    <xf numFmtId="0" fontId="26" fillId="13" borderId="15" applyNumberFormat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0" fontId="0" fillId="0" borderId="0" xfId="11" applyNumberForma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10" fontId="4" fillId="0" borderId="0" xfId="11" applyNumberFormat="1" applyFont="1" applyAlignment="1">
      <alignment horizontal="center" vertical="center"/>
    </xf>
    <xf numFmtId="10" fontId="9" fillId="0" borderId="0" xfId="11" applyNumberFormat="1" applyFont="1" applyAlignment="1">
      <alignment horizontal="center" vertical="center"/>
    </xf>
    <xf numFmtId="10" fontId="10" fillId="2" borderId="1" xfId="11" applyNumberFormat="1" applyFont="1" applyFill="1" applyBorder="1" applyAlignment="1">
      <alignment horizontal="center" vertical="center"/>
    </xf>
    <xf numFmtId="10" fontId="10" fillId="2" borderId="3" xfId="11" applyNumberFormat="1" applyFont="1" applyFill="1" applyBorder="1" applyAlignment="1">
      <alignment horizontal="center" vertical="center"/>
    </xf>
    <xf numFmtId="10" fontId="0" fillId="0" borderId="8" xfId="11" applyNumberFormat="1" applyFill="1" applyBorder="1" applyAlignment="1">
      <alignment horizontal="center" vertical="center"/>
    </xf>
    <xf numFmtId="10" fontId="0" fillId="0" borderId="9" xfId="11" applyNumberForma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3">
    <dxf>
      <font>
        <b val="1"/>
        <i val="0"/>
        <color rgb="FF5983FD"/>
      </font>
    </dxf>
    <dxf>
      <font>
        <b val="1"/>
        <i val="0"/>
        <color rgb="FFC00000"/>
      </font>
    </dxf>
    <dxf>
      <fill>
        <patternFill patternType="solid">
          <bgColor theme="0" tint="-0.0499893185216834"/>
        </patternFill>
      </fill>
    </dxf>
  </dxfs>
  <tableStyles count="0" defaultTableStyle="TableStyleMedium2" defaultPivotStyle="PivotStyleLight16"/>
  <colors>
    <mruColors>
      <color rgb="009572F9"/>
      <color rgb="00875AFE"/>
      <color rgb="008356FC"/>
      <color rgb="0000EACF"/>
      <color rgb="0000E0DA"/>
      <color rgb="0000D6E4"/>
      <color rgb="0001CBED"/>
      <color rgb="0098D1F5"/>
      <color rgb="005983FD"/>
      <color rgb="0040A7E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49031007751938"/>
          <c:y val="0.0671129980404964"/>
          <c:w val="0.907848837209302"/>
          <c:h val="0.753069888961463"/>
        </c:manualLayout>
      </c:layout>
      <c:lineChart>
        <c:grouping val="standard"/>
        <c:varyColors val="0"/>
        <c:ser>
          <c:idx val="0"/>
          <c:order val="0"/>
          <c:tx>
            <c:strRef>
              <c:f>面试预约入职信息表!$S$6</c:f>
              <c:strCache>
                <c:ptCount val="1"/>
                <c:pt idx="0">
                  <c:v>面试人数</c:v>
                </c:pt>
              </c:strCache>
            </c:strRef>
          </c:tx>
          <c:spPr>
            <a:ln w="19050" cap="rnd">
              <a:solidFill>
                <a:srgbClr val="00D6E4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95000"/>
                </a:schemeClr>
              </a:solidFill>
              <a:ln w="19050">
                <a:solidFill>
                  <a:srgbClr val="01CBED"/>
                </a:solidFill>
              </a:ln>
              <a:effectLst/>
            </c:spPr>
          </c:marker>
          <c:dLbls>
            <c:delete val="1"/>
          </c:dLbls>
          <c:cat>
            <c:strRef>
              <c:f>面试预约入职信息表!$R$7:$R$18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面试预约入职信息表!$S$7:$S$18</c:f>
              <c:numCache>
                <c:formatCode>General</c:formatCode>
                <c:ptCount val="12"/>
                <c:pt idx="0">
                  <c:v>2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面试预约入职信息表!$T$6</c:f>
              <c:strCache>
                <c:ptCount val="1"/>
                <c:pt idx="0">
                  <c:v>入职人数</c:v>
                </c:pt>
              </c:strCache>
            </c:strRef>
          </c:tx>
          <c:spPr>
            <a:ln w="19050" cap="rnd">
              <a:solidFill>
                <a:srgbClr val="8356FC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95000"/>
                </a:schemeClr>
              </a:solidFill>
              <a:ln w="19050">
                <a:solidFill>
                  <a:srgbClr val="8356FC"/>
                </a:solidFill>
              </a:ln>
              <a:effectLst/>
            </c:spPr>
          </c:marker>
          <c:dLbls>
            <c:delete val="1"/>
          </c:dLbls>
          <c:cat>
            <c:strRef>
              <c:f>面试预约入职信息表!$R$7:$R$18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面试预约入职信息表!$T$7:$T$18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7948458"/>
        <c:axId val="142029595"/>
      </c:lineChart>
      <c:catAx>
        <c:axId val="70794845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文黑-55简" panose="00020600040101010101" charset="-122"/>
                <a:ea typeface="汉仪文黑-55简" panose="00020600040101010101" charset="-122"/>
                <a:cs typeface="汉仪文黑-55简" panose="00020600040101010101" charset="-122"/>
                <a:sym typeface="汉仪文黑-55简" panose="00020600040101010101" charset="-122"/>
              </a:defRPr>
            </a:pPr>
          </a:p>
        </c:txPr>
        <c:crossAx val="142029595"/>
        <c:crosses val="autoZero"/>
        <c:auto val="1"/>
        <c:lblAlgn val="ctr"/>
        <c:lblOffset val="100"/>
        <c:noMultiLvlLbl val="0"/>
      </c:catAx>
      <c:valAx>
        <c:axId val="14202959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文黑-55简" panose="00020600040101010101" charset="-122"/>
                <a:ea typeface="汉仪文黑-55简" panose="00020600040101010101" charset="-122"/>
                <a:cs typeface="汉仪文黑-55简" panose="00020600040101010101" charset="-122"/>
                <a:sym typeface="汉仪文黑-55简" panose="00020600040101010101" charset="-122"/>
              </a:defRPr>
            </a:pPr>
          </a:p>
        </c:txPr>
        <c:crossAx val="70794845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文黑-55简" panose="00020600040101010101" charset="-122"/>
                <a:ea typeface="汉仪文黑-55简" panose="00020600040101010101" charset="-122"/>
                <a:cs typeface="汉仪文黑-55简" panose="00020600040101010101" charset="-122"/>
                <a:sym typeface="汉仪文黑-55简" panose="00020600040101010101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文黑-55简" panose="00020600040101010101" charset="-122"/>
                <a:ea typeface="汉仪文黑-55简" panose="00020600040101010101" charset="-122"/>
                <a:cs typeface="汉仪文黑-55简" panose="00020600040101010101" charset="-122"/>
                <a:sym typeface="汉仪文黑-55简" panose="00020600040101010101" charset="-122"/>
              </a:defRPr>
            </a:pPr>
          </a:p>
        </c:txPr>
      </c:legendEntry>
      <c:layout>
        <c:manualLayout>
          <c:xMode val="edge"/>
          <c:yMode val="edge"/>
          <c:x val="0.600247630626532"/>
          <c:y val="0.00952078705172961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汉仪文黑-55简" panose="00020600040101010101" charset="-122"/>
              <a:ea typeface="汉仪文黑-55简" panose="00020600040101010101" charset="-122"/>
              <a:cs typeface="汉仪文黑-55简" panose="00020600040101010101" charset="-122"/>
              <a:sym typeface="汉仪文黑-55简" panose="00020600040101010101" charset="-122"/>
            </a:defRPr>
          </a:pPr>
        </a:p>
      </c:txPr>
    </c:legend>
    <c:plotVisOnly val="1"/>
    <c:dispBlanksAs val="zero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>
          <a:latin typeface="汉仪文黑-55简" panose="00020600040101010101" charset="-122"/>
          <a:ea typeface="汉仪文黑-55简" panose="00020600040101010101" charset="-122"/>
          <a:cs typeface="汉仪文黑-55简" panose="00020600040101010101" charset="-122"/>
          <a:sym typeface="汉仪文黑-55简" panose="00020600040101010101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5983F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汉仪文黑-55简" panose="00020600040101010101" charset="-122"/>
                    <a:ea typeface="汉仪文黑-55简" panose="00020600040101010101" charset="-122"/>
                    <a:cs typeface="汉仪文黑-55简" panose="00020600040101010101" charset="-122"/>
                    <a:sym typeface="汉仪文黑-55简" panose="00020600040101010101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Sheet1!$G$12:$K$12</c:f>
              <c:strCache>
                <c:ptCount val="5"/>
                <c:pt idx="0">
                  <c:v>BOSS</c:v>
                </c:pt>
                <c:pt idx="1">
                  <c:v>前程</c:v>
                </c:pt>
                <c:pt idx="2">
                  <c:v>智联</c:v>
                </c:pt>
                <c:pt idx="3">
                  <c:v>赶集网</c:v>
                </c:pt>
                <c:pt idx="4">
                  <c:v>其他</c:v>
                </c:pt>
              </c:strCache>
            </c:strRef>
          </c:cat>
          <c:val>
            <c:numRef>
              <c:f>Sheet1!$G$13:$K$13</c:f>
              <c:numCache>
                <c:formatCode>General</c:formatCode>
                <c:ptCount val="5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66690673"/>
        <c:axId val="187907578"/>
      </c:barChart>
      <c:catAx>
        <c:axId val="86669067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文黑-55简" panose="00020600040101010101" charset="-122"/>
                <a:ea typeface="汉仪文黑-55简" panose="00020600040101010101" charset="-122"/>
                <a:cs typeface="汉仪文黑-55简" panose="00020600040101010101" charset="-122"/>
                <a:sym typeface="汉仪文黑-55简" panose="00020600040101010101" charset="-122"/>
              </a:defRPr>
            </a:pPr>
          </a:p>
        </c:txPr>
        <c:crossAx val="187907578"/>
        <c:crosses val="autoZero"/>
        <c:auto val="1"/>
        <c:lblAlgn val="ctr"/>
        <c:lblOffset val="100"/>
        <c:noMultiLvlLbl val="0"/>
      </c:catAx>
      <c:valAx>
        <c:axId val="187907578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文黑-55简" panose="00020600040101010101" charset="-122"/>
                <a:ea typeface="汉仪文黑-55简" panose="00020600040101010101" charset="-122"/>
                <a:cs typeface="汉仪文黑-55简" panose="00020600040101010101" charset="-122"/>
                <a:sym typeface="汉仪文黑-55简" panose="00020600040101010101" charset="-122"/>
              </a:defRPr>
            </a:pPr>
          </a:p>
        </c:txPr>
        <c:crossAx val="86669067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>
          <a:latin typeface="汉仪文黑-55简" panose="00020600040101010101" charset="-122"/>
          <a:ea typeface="汉仪文黑-55简" panose="00020600040101010101" charset="-122"/>
          <a:cs typeface="汉仪文黑-55简" panose="00020600040101010101" charset="-122"/>
          <a:sym typeface="汉仪文黑-55简" panose="00020600040101010101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95250</xdr:colOff>
      <xdr:row>2</xdr:row>
      <xdr:rowOff>142875</xdr:rowOff>
    </xdr:from>
    <xdr:to>
      <xdr:col>3</xdr:col>
      <xdr:colOff>509905</xdr:colOff>
      <xdr:row>5</xdr:row>
      <xdr:rowOff>226060</xdr:rowOff>
    </xdr:to>
    <xdr:sp>
      <xdr:nvSpPr>
        <xdr:cNvPr id="3" name="圆角矩形 2"/>
        <xdr:cNvSpPr/>
      </xdr:nvSpPr>
      <xdr:spPr>
        <a:xfrm>
          <a:off x="352425" y="662305"/>
          <a:ext cx="1710055" cy="869315"/>
        </a:xfrm>
        <a:prstGeom prst="roundRect">
          <a:avLst/>
        </a:prstGeom>
        <a:gradFill>
          <a:gsLst>
            <a:gs pos="0">
              <a:srgbClr val="00EACF"/>
            </a:gs>
            <a:gs pos="54000">
              <a:srgbClr val="00D9DE"/>
            </a:gs>
            <a:gs pos="100000">
              <a:srgbClr val="01CAF1"/>
            </a:gs>
          </a:gsLst>
          <a:lin ang="5400000" scaled="0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657225</xdr:colOff>
      <xdr:row>2</xdr:row>
      <xdr:rowOff>142875</xdr:rowOff>
    </xdr:from>
    <xdr:to>
      <xdr:col>5</xdr:col>
      <xdr:colOff>433705</xdr:colOff>
      <xdr:row>5</xdr:row>
      <xdr:rowOff>226060</xdr:rowOff>
    </xdr:to>
    <xdr:sp>
      <xdr:nvSpPr>
        <xdr:cNvPr id="4" name="圆角矩形 3"/>
        <xdr:cNvSpPr/>
      </xdr:nvSpPr>
      <xdr:spPr>
        <a:xfrm>
          <a:off x="2209800" y="662305"/>
          <a:ext cx="1643380" cy="869315"/>
        </a:xfrm>
        <a:prstGeom prst="roundRect">
          <a:avLst/>
        </a:prstGeom>
        <a:gradFill>
          <a:gsLst>
            <a:gs pos="0">
              <a:srgbClr val="FDBFA6"/>
            </a:gs>
            <a:gs pos="54000">
              <a:srgbClr val="F6A4C3"/>
            </a:gs>
            <a:gs pos="100000">
              <a:srgbClr val="F799D2"/>
            </a:gs>
          </a:gsLst>
          <a:lin ang="5400000" scaled="0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104775</xdr:colOff>
      <xdr:row>6</xdr:row>
      <xdr:rowOff>69850</xdr:rowOff>
    </xdr:from>
    <xdr:to>
      <xdr:col>3</xdr:col>
      <xdr:colOff>519430</xdr:colOff>
      <xdr:row>8</xdr:row>
      <xdr:rowOff>305435</xdr:rowOff>
    </xdr:to>
    <xdr:sp>
      <xdr:nvSpPr>
        <xdr:cNvPr id="5" name="圆角矩形 4"/>
        <xdr:cNvSpPr/>
      </xdr:nvSpPr>
      <xdr:spPr>
        <a:xfrm>
          <a:off x="361950" y="1692275"/>
          <a:ext cx="1710055" cy="869315"/>
        </a:xfrm>
        <a:prstGeom prst="roundRect">
          <a:avLst/>
        </a:prstGeom>
        <a:gradFill>
          <a:gsLst>
            <a:gs pos="0">
              <a:srgbClr val="98D1F5"/>
            </a:gs>
            <a:gs pos="54000">
              <a:srgbClr val="40A7EC"/>
            </a:gs>
            <a:gs pos="100000">
              <a:srgbClr val="5584F9"/>
            </a:gs>
          </a:gsLst>
          <a:lin ang="5400000" scaled="0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657225</xdr:colOff>
      <xdr:row>6</xdr:row>
      <xdr:rowOff>69850</xdr:rowOff>
    </xdr:from>
    <xdr:to>
      <xdr:col>5</xdr:col>
      <xdr:colOff>433705</xdr:colOff>
      <xdr:row>8</xdr:row>
      <xdr:rowOff>305435</xdr:rowOff>
    </xdr:to>
    <xdr:sp>
      <xdr:nvSpPr>
        <xdr:cNvPr id="6" name="圆角矩形 5"/>
        <xdr:cNvSpPr/>
      </xdr:nvSpPr>
      <xdr:spPr>
        <a:xfrm>
          <a:off x="2209800" y="1692275"/>
          <a:ext cx="1643380" cy="869315"/>
        </a:xfrm>
        <a:prstGeom prst="roundRect">
          <a:avLst/>
        </a:prstGeom>
        <a:gradFill>
          <a:gsLst>
            <a:gs pos="0">
              <a:srgbClr val="B6A0EE"/>
            </a:gs>
            <a:gs pos="54000">
              <a:srgbClr val="9471FA"/>
            </a:gs>
            <a:gs pos="100000">
              <a:srgbClr val="8456FE"/>
            </a:gs>
          </a:gsLst>
          <a:lin ang="5400000" scaled="0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533400</xdr:colOff>
      <xdr:row>2</xdr:row>
      <xdr:rowOff>99695</xdr:rowOff>
    </xdr:from>
    <xdr:to>
      <xdr:col>11</xdr:col>
      <xdr:colOff>283845</xdr:colOff>
      <xdr:row>9</xdr:row>
      <xdr:rowOff>118745</xdr:rowOff>
    </xdr:to>
    <xdr:graphicFrame>
      <xdr:nvGraphicFramePr>
        <xdr:cNvPr id="7" name="图表 6"/>
        <xdr:cNvGraphicFramePr/>
      </xdr:nvGraphicFramePr>
      <xdr:xfrm>
        <a:off x="3952875" y="619125"/>
        <a:ext cx="4112895" cy="2072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31115</xdr:colOff>
      <xdr:row>4</xdr:row>
      <xdr:rowOff>57785</xdr:rowOff>
    </xdr:from>
    <xdr:to>
      <xdr:col>14</xdr:col>
      <xdr:colOff>70485</xdr:colOff>
      <xdr:row>9</xdr:row>
      <xdr:rowOff>66040</xdr:rowOff>
    </xdr:to>
    <xdr:graphicFrame>
      <xdr:nvGraphicFramePr>
        <xdr:cNvPr id="8" name="图表 7"/>
        <xdr:cNvGraphicFramePr/>
      </xdr:nvGraphicFramePr>
      <xdr:xfrm>
        <a:off x="7813040" y="1046480"/>
        <a:ext cx="3077845" cy="15925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123825</xdr:colOff>
      <xdr:row>3</xdr:row>
      <xdr:rowOff>0</xdr:rowOff>
    </xdr:from>
    <xdr:to>
      <xdr:col>5</xdr:col>
      <xdr:colOff>389890</xdr:colOff>
      <xdr:row>4</xdr:row>
      <xdr:rowOff>18415</xdr:rowOff>
    </xdr:to>
    <xdr:grpSp>
      <xdr:nvGrpSpPr>
        <xdr:cNvPr id="14" name="组合 13"/>
        <xdr:cNvGrpSpPr/>
      </xdr:nvGrpSpPr>
      <xdr:grpSpPr>
        <a:xfrm>
          <a:off x="381000" y="671830"/>
          <a:ext cx="3428365" cy="335280"/>
          <a:chOff x="630" y="1035"/>
          <a:chExt cx="6014" cy="524"/>
        </a:xfrm>
      </xdr:grpSpPr>
      <xdr:sp>
        <xdr:nvSpPr>
          <xdr:cNvPr id="9" name="文本框 8"/>
          <xdr:cNvSpPr txBox="1"/>
        </xdr:nvSpPr>
        <xdr:spPr>
          <a:xfrm>
            <a:off x="630" y="1035"/>
            <a:ext cx="2865" cy="525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l"/>
            <a:r>
              <a:rPr lang="zh-CN" altLang="en-US" sz="1400">
                <a:solidFill>
                  <a:schemeClr val="bg1"/>
                </a:solidFill>
                <a:latin typeface="汉仪润圆-65简" panose="00020600040101010101" charset="-122"/>
                <a:ea typeface="汉仪润圆-65简" panose="00020600040101010101" charset="-122"/>
              </a:rPr>
              <a:t>累计面试</a:t>
            </a:r>
            <a:endParaRPr lang="zh-CN" altLang="en-US" sz="1400">
              <a:solidFill>
                <a:schemeClr val="bg1"/>
              </a:solidFill>
              <a:latin typeface="汉仪润圆-65简" panose="00020600040101010101" charset="-122"/>
              <a:ea typeface="汉仪润圆-65简" panose="00020600040101010101" charset="-122"/>
            </a:endParaRPr>
          </a:p>
        </xdr:txBody>
      </xdr:sp>
      <xdr:sp>
        <xdr:nvSpPr>
          <xdr:cNvPr id="10" name="文本框 9"/>
          <xdr:cNvSpPr txBox="1"/>
        </xdr:nvSpPr>
        <xdr:spPr>
          <a:xfrm>
            <a:off x="3780" y="1035"/>
            <a:ext cx="2865" cy="525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zh-CN" altLang="en-US" sz="1400">
                <a:solidFill>
                  <a:schemeClr val="bg1"/>
                </a:solidFill>
                <a:latin typeface="汉仪润圆-65简" panose="00020600040101010101" charset="-122"/>
                <a:ea typeface="汉仪润圆-65简" panose="00020600040101010101" charset="-122"/>
              </a:rPr>
              <a:t>累计入职</a:t>
            </a:r>
            <a:endParaRPr lang="zh-CN" altLang="en-US" sz="1400">
              <a:solidFill>
                <a:schemeClr val="bg1"/>
              </a:solidFill>
              <a:latin typeface="汉仪润圆-65简" panose="00020600040101010101" charset="-122"/>
              <a:ea typeface="汉仪润圆-65简" panose="00020600040101010101" charset="-122"/>
            </a:endParaRPr>
          </a:p>
        </xdr:txBody>
      </xdr:sp>
    </xdr:grpSp>
    <xdr:clientData/>
  </xdr:twoCellAnchor>
  <xdr:twoCellAnchor>
    <xdr:from>
      <xdr:col>1</xdr:col>
      <xdr:colOff>123825</xdr:colOff>
      <xdr:row>6</xdr:row>
      <xdr:rowOff>98425</xdr:rowOff>
    </xdr:from>
    <xdr:to>
      <xdr:col>5</xdr:col>
      <xdr:colOff>389890</xdr:colOff>
      <xdr:row>7</xdr:row>
      <xdr:rowOff>116840</xdr:rowOff>
    </xdr:to>
    <xdr:grpSp>
      <xdr:nvGrpSpPr>
        <xdr:cNvPr id="13" name="组合 12"/>
        <xdr:cNvGrpSpPr/>
      </xdr:nvGrpSpPr>
      <xdr:grpSpPr>
        <a:xfrm>
          <a:off x="381000" y="1720850"/>
          <a:ext cx="3428365" cy="335280"/>
          <a:chOff x="630" y="2675"/>
          <a:chExt cx="6014" cy="524"/>
        </a:xfrm>
      </xdr:grpSpPr>
      <xdr:sp>
        <xdr:nvSpPr>
          <xdr:cNvPr id="11" name="文本框 10"/>
          <xdr:cNvSpPr txBox="1"/>
        </xdr:nvSpPr>
        <xdr:spPr>
          <a:xfrm>
            <a:off x="630" y="2675"/>
            <a:ext cx="2865" cy="525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zh-CN" altLang="en-US" sz="1400">
                <a:solidFill>
                  <a:schemeClr val="bg1"/>
                </a:solidFill>
                <a:latin typeface="汉仪润圆-65简" panose="00020600040101010101" charset="-122"/>
                <a:ea typeface="汉仪润圆-65简" panose="00020600040101010101" charset="-122"/>
              </a:rPr>
              <a:t>今日面试</a:t>
            </a:r>
            <a:endParaRPr lang="zh-CN" altLang="en-US" sz="1400">
              <a:solidFill>
                <a:schemeClr val="bg1"/>
              </a:solidFill>
              <a:latin typeface="汉仪润圆-65简" panose="00020600040101010101" charset="-122"/>
              <a:ea typeface="汉仪润圆-65简" panose="00020600040101010101" charset="-122"/>
            </a:endParaRPr>
          </a:p>
        </xdr:txBody>
      </xdr:sp>
      <xdr:sp>
        <xdr:nvSpPr>
          <xdr:cNvPr id="12" name="文本框 11"/>
          <xdr:cNvSpPr txBox="1"/>
        </xdr:nvSpPr>
        <xdr:spPr>
          <a:xfrm>
            <a:off x="3780" y="2675"/>
            <a:ext cx="2865" cy="525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zh-CN" altLang="en-US" sz="1400">
                <a:solidFill>
                  <a:schemeClr val="bg1"/>
                </a:solidFill>
                <a:latin typeface="汉仪润圆-65简" panose="00020600040101010101" charset="-122"/>
                <a:ea typeface="汉仪润圆-65简" panose="00020600040101010101" charset="-122"/>
              </a:rPr>
              <a:t>本月入职</a:t>
            </a:r>
            <a:endParaRPr lang="zh-CN" altLang="en-US" sz="1400">
              <a:solidFill>
                <a:schemeClr val="bg1"/>
              </a:solidFill>
              <a:latin typeface="汉仪润圆-65简" panose="00020600040101010101" charset="-122"/>
              <a:ea typeface="汉仪润圆-65简" panose="00020600040101010101" charset="-122"/>
            </a:endParaRPr>
          </a:p>
        </xdr:txBody>
      </xdr:sp>
    </xdr:grpSp>
    <xdr:clientData/>
  </xdr:twoCellAnchor>
  <xdr:twoCellAnchor>
    <xdr:from>
      <xdr:col>1</xdr:col>
      <xdr:colOff>95250</xdr:colOff>
      <xdr:row>4</xdr:row>
      <xdr:rowOff>85725</xdr:rowOff>
    </xdr:from>
    <xdr:to>
      <xdr:col>5</xdr:col>
      <xdr:colOff>380365</xdr:colOff>
      <xdr:row>8</xdr:row>
      <xdr:rowOff>187960</xdr:rowOff>
    </xdr:to>
    <xdr:grpSp>
      <xdr:nvGrpSpPr>
        <xdr:cNvPr id="19" name="组合 18"/>
        <xdr:cNvGrpSpPr/>
      </xdr:nvGrpSpPr>
      <xdr:grpSpPr>
        <a:xfrm>
          <a:off x="352425" y="1074420"/>
          <a:ext cx="3447415" cy="1369695"/>
          <a:chOff x="585" y="1665"/>
          <a:chExt cx="6044" cy="2141"/>
        </a:xfrm>
      </xdr:grpSpPr>
      <xdr:sp textlink="面试预约入职信息表!S21">
        <xdr:nvSpPr>
          <xdr:cNvPr id="2" name="文本框 1"/>
          <xdr:cNvSpPr txBox="1"/>
        </xdr:nvSpPr>
        <xdr:spPr>
          <a:xfrm>
            <a:off x="600" y="1665"/>
            <a:ext cx="2835" cy="568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fld id="{C29E9466-18AE-4E98-A22D-C9A3D84D80B3}" type="TxLink">
              <a:rPr lang="en-US" altLang="en-US" sz="1800" b="0" i="0" u="none" strike="noStrike">
                <a:solidFill>
                  <a:schemeClr val="bg1"/>
                </a:solidFill>
                <a:latin typeface="汉仪润圆-65简" panose="00020600040101010101" charset="-122"/>
                <a:ea typeface="汉仪润圆-65简" panose="00020600040101010101" charset="-122"/>
              </a:rPr>
            </a:fld>
            <a:endParaRPr lang="en-US" altLang="en-US" sz="1800" b="0" i="0" u="none" strike="noStrike">
              <a:solidFill>
                <a:schemeClr val="bg1"/>
              </a:solidFill>
              <a:latin typeface="汉仪润圆-65简" panose="00020600040101010101" charset="-122"/>
              <a:ea typeface="汉仪润圆-65简" panose="00020600040101010101" charset="-122"/>
            </a:endParaRPr>
          </a:p>
        </xdr:txBody>
      </xdr:sp>
      <xdr:sp textlink="面试预约入职信息表!S22">
        <xdr:nvSpPr>
          <xdr:cNvPr id="15" name="文本框 14"/>
          <xdr:cNvSpPr txBox="1"/>
        </xdr:nvSpPr>
        <xdr:spPr>
          <a:xfrm>
            <a:off x="3795" y="1666"/>
            <a:ext cx="2835" cy="567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/>
          <a:p>
            <a:pPr algn="ctr">
              <a:buClrTx/>
              <a:buSzTx/>
              <a:buFontTx/>
            </a:pPr>
            <a:fld id="{BB962C8B-B14F-4D97-AF65-F5344CB8AC3E}" type="TxLink">
              <a:rPr lang="en-US" altLang="en-US" sz="1800" b="0" i="0" u="none" strike="noStrike">
                <a:solidFill>
                  <a:schemeClr val="bg1"/>
                </a:solidFill>
                <a:latin typeface="汉仪润圆-65简" panose="00020600040101010101" charset="-122"/>
                <a:ea typeface="汉仪润圆-65简" panose="00020600040101010101" charset="-122"/>
              </a:rPr>
            </a:fld>
            <a:endParaRPr lang="en-US" altLang="en-US" sz="1800" b="0" i="0" u="none" strike="noStrike">
              <a:solidFill>
                <a:schemeClr val="bg1"/>
              </a:solidFill>
              <a:latin typeface="汉仪润圆-65简" panose="00020600040101010101" charset="-122"/>
              <a:ea typeface="汉仪润圆-65简" panose="00020600040101010101" charset="-122"/>
            </a:endParaRPr>
          </a:p>
        </xdr:txBody>
      </xdr:sp>
      <xdr:sp textlink="面试预约入职信息表!S23">
        <xdr:nvSpPr>
          <xdr:cNvPr id="16" name="文本框 15"/>
          <xdr:cNvSpPr txBox="1"/>
        </xdr:nvSpPr>
        <xdr:spPr>
          <a:xfrm>
            <a:off x="585" y="3240"/>
            <a:ext cx="2835" cy="567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>
            <a:noAutofit/>
          </a:bodyPr>
          <a:lstStyle/>
          <a:p>
            <a:pPr algn="ctr">
              <a:buClrTx/>
              <a:buSzTx/>
              <a:buFontTx/>
            </a:pPr>
            <a:fld id="{BB962C8B-B14F-4D97-AF65-F5344CB8AC3E}" type="TxLink">
              <a:rPr lang="en-US" altLang="en-US" sz="1800" b="0" i="0" u="none" strike="noStrike">
                <a:solidFill>
                  <a:schemeClr val="bg1"/>
                </a:solidFill>
                <a:latin typeface="汉仪润圆-65简" panose="00020600040101010101" charset="-122"/>
                <a:ea typeface="汉仪润圆-65简" panose="00020600040101010101" charset="-122"/>
              </a:rPr>
            </a:fld>
            <a:endParaRPr lang="en-US" altLang="en-US" sz="1800" b="0" i="0" u="none" strike="noStrike">
              <a:solidFill>
                <a:schemeClr val="bg1"/>
              </a:solidFill>
              <a:latin typeface="汉仪润圆-65简" panose="00020600040101010101" charset="-122"/>
              <a:ea typeface="汉仪润圆-65简" panose="00020600040101010101" charset="-122"/>
            </a:endParaRPr>
          </a:p>
        </xdr:txBody>
      </xdr:sp>
      <xdr:sp textlink="面试预约入职信息表!S24">
        <xdr:nvSpPr>
          <xdr:cNvPr id="17" name="文本框 16"/>
          <xdr:cNvSpPr txBox="1"/>
        </xdr:nvSpPr>
        <xdr:spPr>
          <a:xfrm>
            <a:off x="3765" y="3240"/>
            <a:ext cx="2835" cy="567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>
            <a:noAutofit/>
          </a:bodyPr>
          <a:lstStyle/>
          <a:p>
            <a:pPr algn="ctr">
              <a:buClrTx/>
              <a:buSzTx/>
              <a:buFontTx/>
            </a:pPr>
            <a:fld id="{BB962C8B-B14F-4D97-AF65-F5344CB8AC3E}" type="TxLink">
              <a:rPr lang="en-US" altLang="en-US" sz="1800" b="0" i="0" u="none" strike="noStrike">
                <a:solidFill>
                  <a:schemeClr val="bg1"/>
                </a:solidFill>
                <a:latin typeface="汉仪润圆-65简" panose="00020600040101010101" charset="-122"/>
                <a:ea typeface="汉仪润圆-65简" panose="00020600040101010101" charset="-122"/>
              </a:rPr>
            </a:fld>
            <a:endParaRPr lang="en-US" altLang="en-US" sz="1800" b="0" i="0" u="none" strike="noStrike">
              <a:solidFill>
                <a:schemeClr val="bg1"/>
              </a:solidFill>
              <a:latin typeface="汉仪润圆-65简" panose="00020600040101010101" charset="-122"/>
              <a:ea typeface="汉仪润圆-65简" panose="00020600040101010101" charset="-122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28575</xdr:colOff>
      <xdr:row>0</xdr:row>
      <xdr:rowOff>38100</xdr:rowOff>
    </xdr:from>
    <xdr:to>
      <xdr:col>19</xdr:col>
      <xdr:colOff>594360</xdr:colOff>
      <xdr:row>72</xdr:row>
      <xdr:rowOff>79375</xdr:rowOff>
    </xdr:to>
    <xdr:sp>
      <xdr:nvSpPr>
        <xdr:cNvPr id="2" name="矩形 1"/>
        <xdr:cNvSpPr/>
      </xdr:nvSpPr>
      <xdr:spPr>
        <a:xfrm>
          <a:off x="28575" y="38100"/>
          <a:ext cx="12003405" cy="12385675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127000" sx="101000" sy="101000" algn="ctr" rotWithShape="0">
            <a:schemeClr val="bg1">
              <a:lumMod val="75000"/>
              <a:alpha val="3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315595</xdr:colOff>
      <xdr:row>28</xdr:row>
      <xdr:rowOff>53975</xdr:rowOff>
    </xdr:from>
    <xdr:to>
      <xdr:col>7</xdr:col>
      <xdr:colOff>331470</xdr:colOff>
      <xdr:row>35</xdr:row>
      <xdr:rowOff>26670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19555" y="4854575"/>
          <a:ext cx="3025775" cy="1172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214630</xdr:colOff>
      <xdr:row>11</xdr:row>
      <xdr:rowOff>12700</xdr:rowOff>
    </xdr:from>
    <xdr:to>
      <xdr:col>7</xdr:col>
      <xdr:colOff>238760</xdr:colOff>
      <xdr:row>15</xdr:row>
      <xdr:rowOff>19050</xdr:rowOff>
    </xdr:to>
    <xdr:grpSp>
      <xdr:nvGrpSpPr>
        <xdr:cNvPr id="8" name="组合 7"/>
        <xdr:cNvGrpSpPr/>
      </xdr:nvGrpSpPr>
      <xdr:grpSpPr>
        <a:xfrm rot="0">
          <a:off x="1418590" y="1898650"/>
          <a:ext cx="3034030" cy="692150"/>
          <a:chOff x="1212" y="2209"/>
          <a:chExt cx="4839" cy="1158"/>
        </a:xfrm>
      </xdr:grpSpPr>
      <xdr:sp>
        <xdr:nvSpPr>
          <xdr:cNvPr id="9" name="文本框 8"/>
          <xdr:cNvSpPr txBox="1"/>
        </xdr:nvSpPr>
        <xdr:spPr>
          <a:xfrm>
            <a:off x="1212" y="2209"/>
            <a:ext cx="1555" cy="115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sz="3800" b="1" kern="1200">
                <a:solidFill>
                  <a:srgbClr val="FF283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rPr>
              <a:t>01</a:t>
            </a:r>
            <a:endParaRPr lang="en-US" altLang="zh-CN" sz="3800" b="1" kern="1200">
              <a:solidFill>
                <a:srgbClr val="FF2832"/>
              </a:solidFill>
              <a:latin typeface="黑体" panose="02010609060101010101" charset="-122"/>
              <a:ea typeface="黑体" panose="02010609060101010101" charset="-122"/>
              <a:cs typeface="Times New Roman" panose="02020603050405020304" pitchFamily="12"/>
              <a:sym typeface="Times New Roman" panose="02020603050405020304" pitchFamily="12"/>
            </a:endParaRPr>
          </a:p>
        </xdr:txBody>
      </xdr:sp>
      <xdr:sp>
        <xdr:nvSpPr>
          <xdr:cNvPr id="10" name="文本框 9"/>
          <xdr:cNvSpPr txBox="1"/>
        </xdr:nvSpPr>
        <xdr:spPr>
          <a:xfrm>
            <a:off x="2218" y="2404"/>
            <a:ext cx="3833" cy="73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>
              <a:buClrTx/>
              <a:buSzTx/>
              <a:buFontTx/>
            </a:pPr>
            <a:r>
              <a:rPr lang="en-US" altLang="zh-CN" sz="2200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rPr>
              <a:t>基础操作</a:t>
            </a:r>
            <a:r>
              <a:rPr lang="zh-CN" altLang="en-US" sz="2200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rPr>
              <a:t>指南</a:t>
            </a:r>
            <a:endParaRPr lang="en-US" altLang="zh-CN" sz="2200" b="1" kern="120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  <a:cs typeface="Times New Roman" panose="02020603050405020304" pitchFamily="12"/>
              <a:sym typeface="Times New Roman" panose="02020603050405020304" pitchFamily="12"/>
            </a:endParaRPr>
          </a:p>
        </xdr:txBody>
      </xdr:sp>
    </xdr:grpSp>
    <xdr:clientData/>
  </xdr:twoCellAnchor>
  <xdr:twoCellAnchor>
    <xdr:from>
      <xdr:col>10</xdr:col>
      <xdr:colOff>97790</xdr:colOff>
      <xdr:row>14</xdr:row>
      <xdr:rowOff>81280</xdr:rowOff>
    </xdr:from>
    <xdr:to>
      <xdr:col>10</xdr:col>
      <xdr:colOff>97790</xdr:colOff>
      <xdr:row>68</xdr:row>
      <xdr:rowOff>9525</xdr:rowOff>
    </xdr:to>
    <xdr:cxnSp>
      <xdr:nvCxnSpPr>
        <xdr:cNvPr id="11" name="直接连接符 10"/>
        <xdr:cNvCxnSpPr/>
      </xdr:nvCxnSpPr>
      <xdr:spPr>
        <a:xfrm>
          <a:off x="6117590" y="2481580"/>
          <a:ext cx="0" cy="9186545"/>
        </a:xfrm>
        <a:prstGeom prst="line">
          <a:avLst/>
        </a:prstGeom>
        <a:ln w="9525">
          <a:solidFill>
            <a:srgbClr val="222222">
              <a:alpha val="8000"/>
            </a:srgb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284480</xdr:colOff>
      <xdr:row>15</xdr:row>
      <xdr:rowOff>161925</xdr:rowOff>
    </xdr:from>
    <xdr:to>
      <xdr:col>7</xdr:col>
      <xdr:colOff>189230</xdr:colOff>
      <xdr:row>19</xdr:row>
      <xdr:rowOff>73660</xdr:rowOff>
    </xdr:to>
    <xdr:grpSp>
      <xdr:nvGrpSpPr>
        <xdr:cNvPr id="12" name="组合 69"/>
        <xdr:cNvGrpSpPr/>
      </xdr:nvGrpSpPr>
      <xdr:grpSpPr>
        <a:xfrm rot="0">
          <a:off x="1488440" y="2733675"/>
          <a:ext cx="2914650" cy="597535"/>
          <a:chOff x="7139" y="3569"/>
          <a:chExt cx="4652" cy="1008"/>
        </a:xfrm>
      </xdr:grpSpPr>
      <xdr:sp>
        <xdr:nvSpPr>
          <xdr:cNvPr id="13" name="文本框 12"/>
          <xdr:cNvSpPr txBox="1"/>
        </xdr:nvSpPr>
        <xdr:spPr>
          <a:xfrm>
            <a:off x="7139" y="3569"/>
            <a:ext cx="3308" cy="44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· </a:t>
            </a:r>
            <a:r>
              <a:rPr lang="zh-CN" altLang="en-US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如何撤销工作表保护？</a:t>
            </a:r>
            <a:endParaRPr lang="en-US" altLang="zh-CN" kern="100"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endParaRPr>
          </a:p>
        </xdr:txBody>
      </xdr:sp>
      <xdr:sp>
        <xdr:nvSpPr>
          <xdr:cNvPr id="14" name="文本框 13"/>
          <xdr:cNvSpPr txBox="1"/>
        </xdr:nvSpPr>
        <xdr:spPr>
          <a:xfrm>
            <a:off x="7197" y="3960"/>
            <a:ext cx="4594" cy="61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 fontAlgn="t">
              <a:lnSpc>
                <a:spcPct val="100000"/>
              </a:lnSpc>
            </a:pP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1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、</a:t>
            </a: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选中对应工作表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。</a:t>
            </a:r>
            <a:endParaRPr lang="en-US" altLang="zh-CN" sz="900" kern="12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endParaRPr>
          </a:p>
          <a:p>
            <a:pPr marL="0" algn="l" eaLnBrk="1" fontAlgn="t">
              <a:lnSpc>
                <a:spcPct val="100000"/>
              </a:lnSpc>
            </a:pP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2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、</a:t>
            </a: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点击：「审阅---撤销工作表」保护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。</a:t>
            </a:r>
            <a:endParaRPr lang="en-US" altLang="zh-CN" sz="900" kern="12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endParaRPr>
          </a:p>
        </xdr:txBody>
      </xdr:sp>
    </xdr:grpSp>
    <xdr:clientData/>
  </xdr:twoCellAnchor>
  <xdr:twoCellAnchor>
    <xdr:from>
      <xdr:col>2</xdr:col>
      <xdr:colOff>273050</xdr:colOff>
      <xdr:row>25</xdr:row>
      <xdr:rowOff>57150</xdr:rowOff>
    </xdr:from>
    <xdr:to>
      <xdr:col>8</xdr:col>
      <xdr:colOff>96520</xdr:colOff>
      <xdr:row>28</xdr:row>
      <xdr:rowOff>144780</xdr:rowOff>
    </xdr:to>
    <xdr:grpSp>
      <xdr:nvGrpSpPr>
        <xdr:cNvPr id="15" name="组合 77"/>
        <xdr:cNvGrpSpPr/>
      </xdr:nvGrpSpPr>
      <xdr:grpSpPr>
        <a:xfrm rot="0">
          <a:off x="1477010" y="4343400"/>
          <a:ext cx="3435350" cy="601980"/>
          <a:chOff x="7127" y="5903"/>
          <a:chExt cx="5482" cy="1014"/>
        </a:xfrm>
      </xdr:grpSpPr>
      <xdr:sp>
        <xdr:nvSpPr>
          <xdr:cNvPr id="16" name="文本框 15"/>
          <xdr:cNvSpPr txBox="1"/>
        </xdr:nvSpPr>
        <xdr:spPr>
          <a:xfrm>
            <a:off x="7127" y="5903"/>
            <a:ext cx="2426" cy="43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· </a:t>
            </a:r>
            <a:r>
              <a:rPr lang="zh-CN" altLang="en-US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如何增加行数？</a:t>
            </a:r>
            <a:endParaRPr lang="en-US" altLang="zh-CN" kern="100"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endParaRPr>
          </a:p>
        </xdr:txBody>
      </xdr:sp>
      <xdr:sp>
        <xdr:nvSpPr>
          <xdr:cNvPr id="17" name="文本框 16"/>
          <xdr:cNvSpPr txBox="1"/>
        </xdr:nvSpPr>
        <xdr:spPr>
          <a:xfrm>
            <a:off x="7197" y="6292"/>
            <a:ext cx="5412" cy="625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 fontAlgn="t">
              <a:lnSpc>
                <a:spcPct val="100000"/>
              </a:lnSpc>
            </a:pP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1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、选中最后一行，鼠标放在选中区域右下角。</a:t>
            </a:r>
            <a:endParaRPr lang="en-US" altLang="zh-CN" sz="900" kern="12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endParaRPr>
          </a:p>
          <a:p>
            <a:pPr marL="0" algn="l" eaLnBrk="1" fontAlgn="t">
              <a:lnSpc>
                <a:spcPct val="100000"/>
              </a:lnSpc>
            </a:pP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2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、当鼠标箭头变成黑色十字形时，点击鼠标左键下拉即可</a:t>
            </a: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。</a:t>
            </a:r>
            <a:endParaRPr lang="en-US" altLang="zh-CN" sz="900" kern="12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endParaRPr>
          </a:p>
        </xdr:txBody>
      </xdr:sp>
    </xdr:grpSp>
    <xdr:clientData/>
  </xdr:twoCellAnchor>
  <xdr:twoCellAnchor editAs="oneCell">
    <xdr:from>
      <xdr:col>2</xdr:col>
      <xdr:colOff>395605</xdr:colOff>
      <xdr:row>19</xdr:row>
      <xdr:rowOff>131445</xdr:rowOff>
    </xdr:from>
    <xdr:to>
      <xdr:col>9</xdr:col>
      <xdr:colOff>156845</xdr:colOff>
      <xdr:row>23</xdr:row>
      <xdr:rowOff>107950</xdr:rowOff>
    </xdr:to>
    <xdr:pic>
      <xdr:nvPicPr>
        <xdr:cNvPr id="18" name="图片 17" descr="WPS图片编辑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99565" y="3388995"/>
          <a:ext cx="3975100" cy="662305"/>
        </a:xfrm>
        <a:prstGeom prst="rect">
          <a:avLst/>
        </a:prstGeom>
        <a:effectLst>
          <a:outerShdw blurRad="38100" sx="101000" sy="101000" algn="ctr" rotWithShape="0">
            <a:schemeClr val="bg1">
              <a:lumMod val="75000"/>
              <a:alpha val="40000"/>
            </a:schemeClr>
          </a:outerShdw>
        </a:effectLst>
      </xdr:spPr>
    </xdr:pic>
    <xdr:clientData/>
  </xdr:twoCellAnchor>
  <xdr:twoCellAnchor>
    <xdr:from>
      <xdr:col>2</xdr:col>
      <xdr:colOff>283210</xdr:colOff>
      <xdr:row>35</xdr:row>
      <xdr:rowOff>124460</xdr:rowOff>
    </xdr:from>
    <xdr:to>
      <xdr:col>7</xdr:col>
      <xdr:colOff>188595</xdr:colOff>
      <xdr:row>39</xdr:row>
      <xdr:rowOff>60960</xdr:rowOff>
    </xdr:to>
    <xdr:grpSp>
      <xdr:nvGrpSpPr>
        <xdr:cNvPr id="19" name="组合 77"/>
        <xdr:cNvGrpSpPr/>
      </xdr:nvGrpSpPr>
      <xdr:grpSpPr>
        <a:xfrm rot="0">
          <a:off x="1487170" y="6125210"/>
          <a:ext cx="2915285" cy="622300"/>
          <a:chOff x="7138" y="5903"/>
          <a:chExt cx="4651" cy="1052"/>
        </a:xfrm>
      </xdr:grpSpPr>
      <xdr:sp>
        <xdr:nvSpPr>
          <xdr:cNvPr id="20" name="文本框 19"/>
          <xdr:cNvSpPr txBox="1"/>
        </xdr:nvSpPr>
        <xdr:spPr>
          <a:xfrm>
            <a:off x="7138" y="5903"/>
            <a:ext cx="4408" cy="42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· </a:t>
            </a:r>
            <a:r>
              <a:rPr lang="zh-CN" altLang="en-US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请在此处输入表格使用说明问题。</a:t>
            </a:r>
            <a:endParaRPr lang="en-US" altLang="zh-CN" kern="100"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endParaRPr>
          </a:p>
        </xdr:txBody>
      </xdr:sp>
      <xdr:sp>
        <xdr:nvSpPr>
          <xdr:cNvPr id="21" name="文本框 20"/>
          <xdr:cNvSpPr txBox="1"/>
        </xdr:nvSpPr>
        <xdr:spPr>
          <a:xfrm>
            <a:off x="7196" y="6296"/>
            <a:ext cx="4593" cy="65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 fontAlgn="t">
              <a:lnSpc>
                <a:spcPct val="100000"/>
              </a:lnSpc>
            </a:pP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1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、下拉选择面试部门和招聘渠道。</a:t>
            </a:r>
            <a:endParaRPr lang="en-US" altLang="zh-CN" sz="900" kern="12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endParaRPr>
          </a:p>
          <a:p>
            <a:pPr marL="0" algn="l" eaLnBrk="1" fontAlgn="t">
              <a:lnSpc>
                <a:spcPct val="100000"/>
              </a:lnSpc>
            </a:pP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2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、下拉选择面试结果，入职结果，颜色自动标记</a:t>
            </a: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。</a:t>
            </a:r>
            <a:endParaRPr lang="en-US" altLang="zh-CN" sz="900" kern="12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endParaRPr>
          </a:p>
        </xdr:txBody>
      </xdr:sp>
    </xdr:grpSp>
    <xdr:clientData/>
  </xdr:twoCellAnchor>
  <xdr:twoCellAnchor>
    <xdr:from>
      <xdr:col>2</xdr:col>
      <xdr:colOff>279400</xdr:colOff>
      <xdr:row>52</xdr:row>
      <xdr:rowOff>150495</xdr:rowOff>
    </xdr:from>
    <xdr:to>
      <xdr:col>8</xdr:col>
      <xdr:colOff>26670</xdr:colOff>
      <xdr:row>57</xdr:row>
      <xdr:rowOff>80010</xdr:rowOff>
    </xdr:to>
    <xdr:grpSp>
      <xdr:nvGrpSpPr>
        <xdr:cNvPr id="22" name="组合 77"/>
        <xdr:cNvGrpSpPr/>
      </xdr:nvGrpSpPr>
      <xdr:grpSpPr>
        <a:xfrm rot="0">
          <a:off x="1483360" y="9065895"/>
          <a:ext cx="3359150" cy="786765"/>
          <a:chOff x="7133" y="5903"/>
          <a:chExt cx="4657" cy="1309"/>
        </a:xfrm>
      </xdr:grpSpPr>
      <xdr:sp>
        <xdr:nvSpPr>
          <xdr:cNvPr id="23" name="文本框 22"/>
          <xdr:cNvSpPr txBox="1"/>
        </xdr:nvSpPr>
        <xdr:spPr>
          <a:xfrm>
            <a:off x="7133" y="5903"/>
            <a:ext cx="4230" cy="426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· </a:t>
            </a:r>
            <a:r>
              <a:rPr lang="zh-CN" altLang="en-US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请在此处输入表格使用说明问题。</a:t>
            </a:r>
            <a:endParaRPr lang="en-US" altLang="zh-CN" kern="100"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endParaRPr>
          </a:p>
        </xdr:txBody>
      </xdr:sp>
      <xdr:sp>
        <xdr:nvSpPr>
          <xdr:cNvPr id="24" name="文本框 23"/>
          <xdr:cNvSpPr txBox="1"/>
        </xdr:nvSpPr>
        <xdr:spPr>
          <a:xfrm>
            <a:off x="7197" y="6294"/>
            <a:ext cx="4593" cy="91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 fontAlgn="t">
              <a:lnSpc>
                <a:spcPct val="100000"/>
              </a:lnSpc>
            </a:pP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1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、入职自动底纹填充。</a:t>
            </a:r>
            <a:endParaRPr lang="zh-CN" altLang="en-US" sz="900" kern="12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endParaRPr>
          </a:p>
          <a:p>
            <a:pPr marL="0" algn="l" eaLnBrk="1" fontAlgn="t">
              <a:lnSpc>
                <a:spcPct val="100000"/>
              </a:lnSpc>
            </a:pP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2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、表</a:t>
            </a: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1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中自定义部门名称和招聘渠道，公式自动计算统计数据。</a:t>
            </a:r>
            <a:endParaRPr lang="zh-CN" altLang="en-US" sz="900" kern="12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endParaRPr>
          </a:p>
        </xdr:txBody>
      </xdr:sp>
    </xdr:grpSp>
    <xdr:clientData/>
  </xdr:twoCellAnchor>
  <xdr:twoCellAnchor>
    <xdr:from>
      <xdr:col>10</xdr:col>
      <xdr:colOff>488950</xdr:colOff>
      <xdr:row>42</xdr:row>
      <xdr:rowOff>161290</xdr:rowOff>
    </xdr:from>
    <xdr:to>
      <xdr:col>16</xdr:col>
      <xdr:colOff>106680</xdr:colOff>
      <xdr:row>50</xdr:row>
      <xdr:rowOff>41910</xdr:rowOff>
    </xdr:to>
    <xdr:grpSp>
      <xdr:nvGrpSpPr>
        <xdr:cNvPr id="25" name="组合 24"/>
        <xdr:cNvGrpSpPr/>
      </xdr:nvGrpSpPr>
      <xdr:grpSpPr>
        <a:xfrm>
          <a:off x="6508750" y="7362190"/>
          <a:ext cx="3229610" cy="1252220"/>
          <a:chOff x="8434" y="9476"/>
          <a:chExt cx="5232" cy="2076"/>
        </a:xfrm>
      </xdr:grpSpPr>
      <xdr:grpSp>
        <xdr:nvGrpSpPr>
          <xdr:cNvPr id="26" name="组合 61"/>
          <xdr:cNvGrpSpPr/>
        </xdr:nvGrpSpPr>
        <xdr:grpSpPr>
          <a:xfrm rot="0">
            <a:off x="8434" y="9476"/>
            <a:ext cx="3323" cy="1212"/>
            <a:chOff x="1213" y="2210"/>
            <a:chExt cx="3309" cy="1228"/>
          </a:xfrm>
        </xdr:grpSpPr>
        <xdr:sp>
          <xdr:nvSpPr>
            <xdr:cNvPr id="27" name="文本框 26"/>
            <xdr:cNvSpPr txBox="1"/>
          </xdr:nvSpPr>
          <xdr:spPr>
            <a:xfrm>
              <a:off x="1213" y="2210"/>
              <a:ext cx="1554" cy="1228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algn="l" eaLnBrk="1"/>
              <a:r>
                <a:rPr lang="en-US" altLang="zh-CN" sz="3800" b="1" kern="1200">
                  <a:solidFill>
                    <a:srgbClr val="FF2832"/>
                  </a:solidFill>
                  <a:latin typeface="黑体" panose="02010609060101010101" charset="-122"/>
                  <a:ea typeface="黑体" panose="02010609060101010101" charset="-122"/>
                  <a:cs typeface="Times New Roman" panose="02020603050405020304" pitchFamily="12"/>
                  <a:sym typeface="Times New Roman" panose="02020603050405020304" pitchFamily="12"/>
                </a:rPr>
                <a:t>03</a:t>
              </a:r>
              <a:endParaRPr lang="en-US" altLang="zh-CN" sz="3800" b="1" kern="1200">
                <a:solidFill>
                  <a:srgbClr val="FF283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endParaRPr>
            </a:p>
          </xdr:txBody>
        </xdr:sp>
        <xdr:sp>
          <xdr:nvSpPr>
            <xdr:cNvPr id="28" name="文本框 27"/>
            <xdr:cNvSpPr txBox="1"/>
          </xdr:nvSpPr>
          <xdr:spPr>
            <a:xfrm>
              <a:off x="2236" y="2404"/>
              <a:ext cx="2286" cy="734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algn="l" eaLnBrk="1"/>
              <a:r>
                <a:rPr lang="en-US" altLang="zh-CN" sz="2200" b="1" kern="1200">
                  <a:solidFill>
                    <a:srgbClr val="222222"/>
                  </a:solidFill>
                  <a:latin typeface="黑体" panose="02010609060101010101" charset="-122"/>
                  <a:ea typeface="黑体" panose="02010609060101010101" charset="-122"/>
                  <a:cs typeface="Times New Roman" panose="02020603050405020304" pitchFamily="12"/>
                  <a:sym typeface="Times New Roman" panose="02020603050405020304" pitchFamily="12"/>
                </a:rPr>
                <a:t>素材说明</a:t>
              </a:r>
              <a:endParaRPr lang="en-US" altLang="zh-CN" sz="2200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endParaRPr>
            </a:p>
          </xdr:txBody>
        </xdr:sp>
      </xdr:grpSp>
      <xdr:sp>
        <xdr:nvSpPr>
          <xdr:cNvPr id="29" name="文本框 28"/>
          <xdr:cNvSpPr txBox="1"/>
        </xdr:nvSpPr>
        <xdr:spPr>
          <a:xfrm>
            <a:off x="8439" y="10628"/>
            <a:ext cx="5227" cy="924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zh-CN" altLang="en-US" sz="2800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rPr>
              <a:t>无</a:t>
            </a:r>
            <a:endParaRPr lang="zh-CN" altLang="en-US" sz="2800" b="1" kern="120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  <a:cs typeface="Times New Roman" panose="02020603050405020304" pitchFamily="12"/>
              <a:sym typeface="Times New Roman" panose="02020603050405020304" pitchFamily="12"/>
            </a:endParaRPr>
          </a:p>
        </xdr:txBody>
      </xdr:sp>
    </xdr:grpSp>
    <xdr:clientData/>
  </xdr:twoCellAnchor>
  <xdr:twoCellAnchor>
    <xdr:from>
      <xdr:col>10</xdr:col>
      <xdr:colOff>572135</xdr:colOff>
      <xdr:row>27</xdr:row>
      <xdr:rowOff>47625</xdr:rowOff>
    </xdr:from>
    <xdr:to>
      <xdr:col>16</xdr:col>
      <xdr:colOff>121285</xdr:colOff>
      <xdr:row>35</xdr:row>
      <xdr:rowOff>75565</xdr:rowOff>
    </xdr:to>
    <xdr:sp>
      <xdr:nvSpPr>
        <xdr:cNvPr id="30" name="文本框 29"/>
        <xdr:cNvSpPr txBox="1"/>
      </xdr:nvSpPr>
      <xdr:spPr>
        <a:xfrm>
          <a:off x="6591935" y="4676775"/>
          <a:ext cx="3161030" cy="139954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 fontAlgn="auto">
            <a:lnSpc>
              <a:spcPct val="150000"/>
            </a:lnSpc>
            <a:spcAft>
              <a:spcPts val="600"/>
            </a:spcAft>
          </a:pPr>
          <a:r>
            <a:rPr lang="zh-CN" altLang="en-US" sz="9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</a:rPr>
            <a:t>【说明】</a:t>
          </a:r>
          <a:endParaRPr lang="zh-CN" altLang="en-US" sz="800">
            <a:solidFill>
              <a:srgbClr val="222222">
                <a:alpha val="60000"/>
              </a:srgbClr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</a:endParaRPr>
        </a:p>
        <a:p>
          <a:pPr marL="39370" algn="l" fontAlgn="auto">
            <a:lnSpc>
              <a:spcPct val="120000"/>
            </a:lnSpc>
          </a:pPr>
          <a:r>
            <a:rPr sz="9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+mn-ea"/>
            </a:rPr>
            <a:t>模板中使用的字体仅限于个人学习、研究或欣赏目的使用，如需商用请您自行向版权方购买、获取商用版权。</a:t>
          </a:r>
          <a:endParaRPr sz="900">
            <a:solidFill>
              <a:srgbClr val="222222">
                <a:alpha val="60000"/>
              </a:srgbClr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  <a:sym typeface="+mn-ea"/>
          </a:endParaRPr>
        </a:p>
        <a:p>
          <a:pPr marL="39370" algn="l" fontAlgn="auto">
            <a:lnSpc>
              <a:spcPct val="120000"/>
            </a:lnSpc>
          </a:pPr>
          <a:r>
            <a:rPr lang="zh-CN" altLang="en-US" sz="9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+mn-ea"/>
            </a:rPr>
            <a:t>模板中使用的字体为开源字体，请用户按照该款开源字体的开源协议要求来使用该字体。</a:t>
          </a:r>
          <a:endParaRPr lang="zh-CN" altLang="en-US" sz="900">
            <a:solidFill>
              <a:srgbClr val="222222">
                <a:alpha val="60000"/>
              </a:srgbClr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  <a:sym typeface="+mn-ea"/>
          </a:endParaRPr>
        </a:p>
      </xdr:txBody>
    </xdr:sp>
    <xdr:clientData/>
  </xdr:twoCellAnchor>
  <xdr:twoCellAnchor>
    <xdr:from>
      <xdr:col>10</xdr:col>
      <xdr:colOff>610870</xdr:colOff>
      <xdr:row>11</xdr:row>
      <xdr:rowOff>12700</xdr:rowOff>
    </xdr:from>
    <xdr:to>
      <xdr:col>15</xdr:col>
      <xdr:colOff>480060</xdr:colOff>
      <xdr:row>24</xdr:row>
      <xdr:rowOff>30480</xdr:rowOff>
    </xdr:to>
    <xdr:grpSp>
      <xdr:nvGrpSpPr>
        <xdr:cNvPr id="31" name="组合 30"/>
        <xdr:cNvGrpSpPr/>
      </xdr:nvGrpSpPr>
      <xdr:grpSpPr>
        <a:xfrm>
          <a:off x="6621780" y="1898650"/>
          <a:ext cx="2887980" cy="2246630"/>
          <a:chOff x="8438" y="3702"/>
          <a:chExt cx="4612" cy="3720"/>
        </a:xfrm>
      </xdr:grpSpPr>
      <xdr:grpSp>
        <xdr:nvGrpSpPr>
          <xdr:cNvPr id="32" name="组合 32"/>
          <xdr:cNvGrpSpPr/>
        </xdr:nvGrpSpPr>
        <xdr:grpSpPr>
          <a:xfrm rot="0">
            <a:off x="8722" y="6083"/>
            <a:ext cx="4328" cy="1339"/>
            <a:chOff x="11008" y="5362"/>
            <a:chExt cx="4828" cy="1355"/>
          </a:xfrm>
        </xdr:grpSpPr>
        <xdr:cxnSp>
          <xdr:nvCxnSpPr>
            <xdr:cNvPr id="33" name="直接连接符 32"/>
            <xdr:cNvCxnSpPr/>
          </xdr:nvCxnSpPr>
          <xdr:spPr>
            <a:xfrm>
              <a:off x="11017" y="6717"/>
              <a:ext cx="4819" cy="0"/>
            </a:xfrm>
            <a:prstGeom prst="line">
              <a:avLst/>
            </a:prstGeom>
            <a:ln w="9525">
              <a:solidFill>
                <a:srgbClr val="222222">
                  <a:alpha val="8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>
          <xdr:nvCxnSpPr>
            <xdr:cNvPr id="34" name="直接连接符 33"/>
            <xdr:cNvCxnSpPr/>
          </xdr:nvCxnSpPr>
          <xdr:spPr>
            <a:xfrm>
              <a:off x="11008" y="5362"/>
              <a:ext cx="4819" cy="0"/>
            </a:xfrm>
            <a:prstGeom prst="line">
              <a:avLst/>
            </a:prstGeom>
            <a:ln w="9525">
              <a:solidFill>
                <a:srgbClr val="222222">
                  <a:alpha val="8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5" name="组合 34"/>
          <xdr:cNvGrpSpPr/>
        </xdr:nvGrpSpPr>
        <xdr:grpSpPr>
          <a:xfrm rot="0">
            <a:off x="8438" y="3702"/>
            <a:ext cx="3264" cy="3614"/>
            <a:chOff x="10730" y="2878"/>
            <a:chExt cx="3249" cy="3660"/>
          </a:xfrm>
        </xdr:grpSpPr>
        <xdr:sp>
          <xdr:nvSpPr>
            <xdr:cNvPr id="36" name="文本框 35"/>
            <xdr:cNvSpPr txBox="1"/>
          </xdr:nvSpPr>
          <xdr:spPr>
            <a:xfrm>
              <a:off x="10887" y="5634"/>
              <a:ext cx="2286" cy="379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algn="l" eaLnBrk="1"/>
              <a:r>
                <a:rPr lang="en-US" altLang="zh-CN" sz="900" kern="1200">
                  <a:solidFill>
                    <a:srgbClr val="222222">
                      <a:alpha val="60000"/>
                    </a:srgbClr>
                  </a:solidFill>
                  <a:latin typeface="黑体" panose="02010609060101010101" charset="-122"/>
                  <a:ea typeface="黑体" panose="02010609060101010101" charset="-122"/>
                  <a:cs typeface="Times New Roman" panose="02020603050405020304" pitchFamily="12"/>
                  <a:sym typeface="Times New Roman" panose="02020603050405020304" pitchFamily="12"/>
                </a:rPr>
                <a:t>中文｜字体名称</a:t>
              </a:r>
              <a:endPara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endParaRPr>
            </a:p>
          </xdr:txBody>
        </xdr:sp>
        <xdr:sp>
          <xdr:nvSpPr>
            <xdr:cNvPr id="37" name="文本框 36"/>
            <xdr:cNvSpPr txBox="1"/>
          </xdr:nvSpPr>
          <xdr:spPr>
            <a:xfrm>
              <a:off x="10856" y="6051"/>
              <a:ext cx="3099" cy="48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algn="l" eaLnBrk="1"/>
              <a:r>
                <a:rPr lang="zh-CN" altLang="en-US" sz="1200" kern="100">
                  <a:latin typeface="Calibri" panose="020F0502020204030204"/>
                  <a:ea typeface="宋体" panose="02010600030101010101" pitchFamily="7" charset="-122"/>
                  <a:cs typeface="Times New Roman" panose="02020603050405020304" pitchFamily="12"/>
                  <a:sym typeface="Times New Roman" panose="02020603050405020304" pitchFamily="12"/>
                </a:rPr>
                <a:t>汉仪润圆</a:t>
              </a:r>
              <a:r>
                <a:rPr lang="en-US" altLang="zh-CN" sz="1200" kern="100">
                  <a:latin typeface="Calibri" panose="020F0502020204030204"/>
                  <a:ea typeface="宋体" panose="02010600030101010101" pitchFamily="7" charset="-122"/>
                  <a:cs typeface="Times New Roman" panose="02020603050405020304" pitchFamily="12"/>
                  <a:sym typeface="Times New Roman" panose="02020603050405020304" pitchFamily="12"/>
                </a:rPr>
                <a:t> 65</a:t>
              </a:r>
              <a:r>
                <a:rPr lang="zh-CN" altLang="en-US" sz="1200" kern="100">
                  <a:latin typeface="Calibri" panose="020F0502020204030204"/>
                  <a:ea typeface="宋体" panose="02010600030101010101" pitchFamily="7" charset="-122"/>
                  <a:cs typeface="Times New Roman" panose="02020603050405020304" pitchFamily="12"/>
                  <a:sym typeface="Times New Roman" panose="02020603050405020304" pitchFamily="12"/>
                </a:rPr>
                <a:t>简</a:t>
              </a:r>
              <a:endParaRPr lang="zh-CN" altLang="en-US" sz="1200" kern="100">
                <a:latin typeface="Calibri" panose="020F0502020204030204"/>
                <a:ea typeface="宋体" panose="02010600030101010101" pitchFamily="7" charset="-122"/>
                <a:cs typeface="Times New Roman" panose="02020603050405020304" pitchFamily="12"/>
                <a:sym typeface="Times New Roman" panose="02020603050405020304" pitchFamily="12"/>
              </a:endParaRPr>
            </a:p>
          </xdr:txBody>
        </xdr:sp>
        <xdr:sp>
          <xdr:nvSpPr>
            <xdr:cNvPr id="38" name="文本框 37"/>
            <xdr:cNvSpPr txBox="1"/>
          </xdr:nvSpPr>
          <xdr:spPr>
            <a:xfrm>
              <a:off x="10892" y="4279"/>
              <a:ext cx="1702" cy="463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algn="l" eaLnBrk="1"/>
              <a:r>
                <a:rPr lang="en-US" altLang="zh-CN" sz="900" kern="1200">
                  <a:solidFill>
                    <a:srgbClr val="222222">
                      <a:alpha val="60000"/>
                    </a:srgbClr>
                  </a:solidFill>
                  <a:latin typeface="黑体" panose="02010609060101010101" charset="-122"/>
                  <a:ea typeface="黑体" panose="02010609060101010101" charset="-122"/>
                  <a:cs typeface="Times New Roman" panose="02020603050405020304" pitchFamily="12"/>
                  <a:sym typeface="Times New Roman" panose="02020603050405020304" pitchFamily="12"/>
                </a:rPr>
                <a:t>中文｜字体名称</a:t>
              </a:r>
              <a:endPara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endParaRPr>
            </a:p>
          </xdr:txBody>
        </xdr:sp>
        <xdr:sp>
          <xdr:nvSpPr>
            <xdr:cNvPr id="39" name="文本框 38"/>
            <xdr:cNvSpPr txBox="1"/>
          </xdr:nvSpPr>
          <xdr:spPr>
            <a:xfrm>
              <a:off x="10847" y="4700"/>
              <a:ext cx="3052" cy="488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algn="l" eaLnBrk="1"/>
              <a:r>
                <a:rPr lang="zh-CN" altLang="en-US" sz="1200" kern="100">
                  <a:latin typeface="Calibri" panose="020F0502020204030204"/>
                  <a:ea typeface="宋体" panose="02010600030101010101" pitchFamily="7" charset="-122"/>
                  <a:cs typeface="Times New Roman" panose="02020603050405020304" pitchFamily="12"/>
                  <a:sym typeface="Times New Roman" panose="02020603050405020304" pitchFamily="12"/>
                </a:rPr>
                <a:t>汉仪文黑</a:t>
              </a:r>
              <a:r>
                <a:rPr lang="en-US" altLang="zh-CN" sz="1200" kern="100">
                  <a:latin typeface="Calibri" panose="020F0502020204030204"/>
                  <a:ea typeface="宋体" panose="02010600030101010101" pitchFamily="7" charset="-122"/>
                  <a:cs typeface="Times New Roman" panose="02020603050405020304" pitchFamily="12"/>
                  <a:sym typeface="Times New Roman" panose="02020603050405020304" pitchFamily="12"/>
                </a:rPr>
                <a:t> 55</a:t>
              </a:r>
              <a:r>
                <a:rPr lang="zh-CN" altLang="en-US" sz="1200" kern="100">
                  <a:latin typeface="Calibri" panose="020F0502020204030204"/>
                  <a:ea typeface="宋体" panose="02010600030101010101" pitchFamily="7" charset="-122"/>
                  <a:cs typeface="Times New Roman" panose="02020603050405020304" pitchFamily="12"/>
                  <a:sym typeface="Times New Roman" panose="02020603050405020304" pitchFamily="12"/>
                </a:rPr>
                <a:t>简</a:t>
              </a:r>
              <a:endParaRPr lang="zh-CN" altLang="en-US" sz="1200" kern="100">
                <a:latin typeface="Calibri" panose="020F0502020204030204"/>
                <a:ea typeface="宋体" panose="02010600030101010101" pitchFamily="7" charset="-122"/>
                <a:cs typeface="Times New Roman" panose="02020603050405020304" pitchFamily="12"/>
                <a:sym typeface="Times New Roman" panose="02020603050405020304" pitchFamily="12"/>
              </a:endParaRPr>
            </a:p>
          </xdr:txBody>
        </xdr:sp>
        <xdr:grpSp>
          <xdr:nvGrpSpPr>
            <xdr:cNvPr id="40" name="组合 39"/>
            <xdr:cNvGrpSpPr/>
          </xdr:nvGrpSpPr>
          <xdr:grpSpPr>
            <a:xfrm rot="0">
              <a:off x="10730" y="2878"/>
              <a:ext cx="3249" cy="1227"/>
              <a:chOff x="1046" y="2210"/>
              <a:chExt cx="3249" cy="1227"/>
            </a:xfrm>
          </xdr:grpSpPr>
          <xdr:sp>
            <xdr:nvSpPr>
              <xdr:cNvPr id="41" name="文本框 40"/>
              <xdr:cNvSpPr txBox="1"/>
            </xdr:nvSpPr>
            <xdr:spPr>
              <a:xfrm>
                <a:off x="1046" y="2210"/>
                <a:ext cx="1505" cy="1227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algn="l" eaLnBrk="1"/>
                <a:r>
                  <a:rPr lang="en-US" altLang="zh-CN" sz="3800" b="1" kern="1200">
                    <a:solidFill>
                      <a:srgbClr val="FF2832"/>
                    </a:solidFill>
                    <a:latin typeface="黑体" panose="02010609060101010101" charset="-122"/>
                    <a:ea typeface="黑体" panose="02010609060101010101" charset="-122"/>
                    <a:cs typeface="Times New Roman" panose="02020603050405020304" pitchFamily="12"/>
                    <a:sym typeface="Times New Roman" panose="02020603050405020304" pitchFamily="12"/>
                  </a:rPr>
                  <a:t>02</a:t>
                </a:r>
                <a:endParaRPr lang="en-US" altLang="zh-CN" sz="3800" b="1" kern="1200">
                  <a:solidFill>
                    <a:srgbClr val="FF2832"/>
                  </a:solidFill>
                  <a:latin typeface="黑体" panose="02010609060101010101" charset="-122"/>
                  <a:ea typeface="黑体" panose="02010609060101010101" charset="-122"/>
                  <a:cs typeface="Times New Roman" panose="02020603050405020304" pitchFamily="12"/>
                  <a:sym typeface="Times New Roman" panose="02020603050405020304" pitchFamily="12"/>
                </a:endParaRPr>
              </a:p>
            </xdr:txBody>
          </xdr:sp>
          <xdr:sp>
            <xdr:nvSpPr>
              <xdr:cNvPr id="42" name="文本框 41"/>
              <xdr:cNvSpPr txBox="1"/>
            </xdr:nvSpPr>
            <xdr:spPr>
              <a:xfrm>
                <a:off x="2013" y="2404"/>
                <a:ext cx="2282" cy="734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algn="l" eaLnBrk="1"/>
                <a:r>
                  <a:rPr lang="en-US" altLang="zh-CN" sz="2200" b="1" kern="1200">
                    <a:solidFill>
                      <a:srgbClr val="222222"/>
                    </a:solidFill>
                    <a:latin typeface="黑体" panose="02010609060101010101" charset="-122"/>
                    <a:ea typeface="黑体" panose="02010609060101010101" charset="-122"/>
                    <a:cs typeface="Times New Roman" panose="02020603050405020304" pitchFamily="12"/>
                    <a:sym typeface="Times New Roman" panose="02020603050405020304" pitchFamily="12"/>
                  </a:rPr>
                  <a:t>字体说明</a:t>
                </a:r>
                <a:endParaRPr lang="en-US" altLang="zh-CN" sz="2200" b="1" kern="1200">
                  <a:solidFill>
                    <a:srgbClr val="222222"/>
                  </a:solidFill>
                  <a:latin typeface="黑体" panose="02010609060101010101" charset="-122"/>
                  <a:ea typeface="黑体" panose="02010609060101010101" charset="-122"/>
                  <a:cs typeface="Times New Roman" panose="02020603050405020304" pitchFamily="12"/>
                  <a:sym typeface="Times New Roman" panose="02020603050405020304" pitchFamily="12"/>
                </a:endParaRPr>
              </a:p>
            </xdr:txBody>
          </xdr:sp>
        </xdr:grpSp>
      </xdr:grpSp>
    </xdr:grpSp>
    <xdr:clientData/>
  </xdr:twoCellAnchor>
  <xdr:twoCellAnchor editAs="oneCell">
    <xdr:from>
      <xdr:col>2</xdr:col>
      <xdr:colOff>506095</xdr:colOff>
      <xdr:row>39</xdr:row>
      <xdr:rowOff>95250</xdr:rowOff>
    </xdr:from>
    <xdr:to>
      <xdr:col>7</xdr:col>
      <xdr:colOff>299720</xdr:colOff>
      <xdr:row>48</xdr:row>
      <xdr:rowOff>142875</xdr:rowOff>
    </xdr:to>
    <xdr:pic>
      <xdr:nvPicPr>
        <xdr:cNvPr id="43" name="图片 4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710055" y="6781800"/>
          <a:ext cx="2803525" cy="1590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668020</xdr:colOff>
      <xdr:row>56</xdr:row>
      <xdr:rowOff>123825</xdr:rowOff>
    </xdr:from>
    <xdr:to>
      <xdr:col>10</xdr:col>
      <xdr:colOff>0</xdr:colOff>
      <xdr:row>63</xdr:row>
      <xdr:rowOff>133350</xdr:rowOff>
    </xdr:to>
    <xdr:pic>
      <xdr:nvPicPr>
        <xdr:cNvPr id="44" name="图片 4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203960" y="9725025"/>
          <a:ext cx="4815840" cy="1209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567690</xdr:colOff>
      <xdr:row>63</xdr:row>
      <xdr:rowOff>47625</xdr:rowOff>
    </xdr:from>
    <xdr:to>
      <xdr:col>9</xdr:col>
      <xdr:colOff>451485</xdr:colOff>
      <xdr:row>70</xdr:row>
      <xdr:rowOff>66675</xdr:rowOff>
    </xdr:to>
    <xdr:pic>
      <xdr:nvPicPr>
        <xdr:cNvPr id="45" name="图片 4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69670" y="10848975"/>
          <a:ext cx="4699635" cy="12192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R25"/>
  <sheetViews>
    <sheetView showGridLines="0" workbookViewId="0">
      <selection activeCell="R17" sqref="R17"/>
    </sheetView>
  </sheetViews>
  <sheetFormatPr defaultColWidth="8.875" defaultRowHeight="24.95" customHeight="1"/>
  <cols>
    <col min="1" max="1" width="3.375" style="4" customWidth="1"/>
    <col min="2" max="2" width="5.625" style="4" customWidth="1"/>
    <col min="3" max="3" width="11.375" style="4" customWidth="1"/>
    <col min="4" max="6" width="12.25" style="4" customWidth="1"/>
    <col min="7" max="11" width="9" style="4" customWidth="1"/>
    <col min="12" max="12" width="14.375" style="4" customWidth="1"/>
    <col min="13" max="13" width="13.375" style="26" customWidth="1"/>
    <col min="14" max="14" width="12.125" style="4" customWidth="1"/>
    <col min="15" max="16384" width="8.875" style="4"/>
  </cols>
  <sheetData>
    <row r="1" ht="9.95" customHeight="1"/>
    <row r="2" ht="30.95" customHeight="1" spans="2:18">
      <c r="B2" s="6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34"/>
      <c r="N2" s="6"/>
      <c r="O2" s="27"/>
      <c r="P2" s="27"/>
      <c r="Q2" s="27"/>
      <c r="R2" s="27"/>
    </row>
    <row r="3" ht="12" customHeight="1" spans="2:18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35"/>
      <c r="N3" s="27"/>
      <c r="O3" s="27"/>
      <c r="P3" s="27"/>
      <c r="Q3" s="27"/>
      <c r="R3" s="27"/>
    </row>
    <row r="4" customHeight="1" spans="2:18"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35"/>
      <c r="N4" s="27"/>
      <c r="O4" s="27"/>
      <c r="P4" s="27"/>
      <c r="Q4" s="27"/>
      <c r="R4" s="27"/>
    </row>
    <row r="5" customHeight="1" spans="2:18"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35"/>
      <c r="N5" s="27"/>
      <c r="O5" s="27"/>
      <c r="P5" s="27"/>
      <c r="Q5" s="27"/>
      <c r="R5" s="27"/>
    </row>
    <row r="6" customHeight="1" spans="2:18"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35"/>
      <c r="N6" s="27"/>
      <c r="O6" s="27"/>
      <c r="P6" s="27"/>
      <c r="Q6" s="27"/>
      <c r="R6" s="27"/>
    </row>
    <row r="7" customHeight="1" spans="2:18"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35"/>
      <c r="N7" s="27"/>
      <c r="O7" s="27"/>
      <c r="P7" s="27"/>
      <c r="Q7" s="27"/>
      <c r="R7" s="27"/>
    </row>
    <row r="8" customHeight="1" spans="2:18"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35"/>
      <c r="N8" s="27"/>
      <c r="O8" s="27"/>
      <c r="P8" s="27"/>
      <c r="Q8" s="27"/>
      <c r="R8" s="27"/>
    </row>
    <row r="9" customHeight="1" spans="2:18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35"/>
      <c r="N9" s="27"/>
      <c r="O9" s="27"/>
      <c r="P9" s="27"/>
      <c r="Q9" s="27"/>
      <c r="R9" s="27"/>
    </row>
    <row r="10" ht="9.95" customHeight="1"/>
    <row r="11" ht="21" customHeight="1" spans="2:14">
      <c r="B11" s="28" t="s">
        <v>1</v>
      </c>
      <c r="C11" s="28" t="s">
        <v>2</v>
      </c>
      <c r="D11" s="28" t="s">
        <v>3</v>
      </c>
      <c r="E11" s="28" t="s">
        <v>4</v>
      </c>
      <c r="F11" s="28" t="s">
        <v>5</v>
      </c>
      <c r="G11" s="29" t="s">
        <v>6</v>
      </c>
      <c r="H11" s="29"/>
      <c r="I11" s="29"/>
      <c r="J11" s="29"/>
      <c r="K11" s="29"/>
      <c r="L11" s="28" t="s">
        <v>7</v>
      </c>
      <c r="M11" s="36" t="s">
        <v>8</v>
      </c>
      <c r="N11" s="28" t="s">
        <v>9</v>
      </c>
    </row>
    <row r="12" ht="21" customHeight="1" spans="2:14">
      <c r="B12" s="30"/>
      <c r="C12" s="30"/>
      <c r="D12" s="30"/>
      <c r="E12" s="30"/>
      <c r="F12" s="30"/>
      <c r="G12" s="28" t="s">
        <v>10</v>
      </c>
      <c r="H12" s="28" t="s">
        <v>11</v>
      </c>
      <c r="I12" s="28" t="s">
        <v>12</v>
      </c>
      <c r="J12" s="28" t="s">
        <v>13</v>
      </c>
      <c r="K12" s="28" t="s">
        <v>14</v>
      </c>
      <c r="L12" s="30"/>
      <c r="M12" s="36"/>
      <c r="N12" s="30"/>
    </row>
    <row r="13" ht="11.1" customHeight="1" spans="2:14">
      <c r="B13" s="30"/>
      <c r="C13" s="30"/>
      <c r="D13" s="30"/>
      <c r="E13" s="30"/>
      <c r="F13" s="30"/>
      <c r="G13" s="31">
        <f>SUM(G14:G200)</f>
        <v>4</v>
      </c>
      <c r="H13" s="31">
        <f>SUM(H14:H200)</f>
        <v>2</v>
      </c>
      <c r="I13" s="31">
        <f>SUM(I14:I200)</f>
        <v>3</v>
      </c>
      <c r="J13" s="31">
        <f>SUM(J14:J200)</f>
        <v>2</v>
      </c>
      <c r="K13" s="31">
        <f>SUM(K14:K200)</f>
        <v>3</v>
      </c>
      <c r="L13" s="30"/>
      <c r="M13" s="37"/>
      <c r="N13" s="30"/>
    </row>
    <row r="14" customHeight="1" spans="2:14">
      <c r="B14" s="32">
        <v>1</v>
      </c>
      <c r="C14" s="32" t="s">
        <v>15</v>
      </c>
      <c r="D14" s="32">
        <v>5</v>
      </c>
      <c r="E14" s="32">
        <f>COUNTIF(面试预约入职信息表!$G$6:$G$20000,C14)</f>
        <v>2</v>
      </c>
      <c r="F14" s="32">
        <f>COUNTIFS(面试预约入职信息表!$G$6:$G$20000,C14,面试预约入职信息表!$M$6:$M$20000,"☑")</f>
        <v>1</v>
      </c>
      <c r="G14" s="32">
        <f>COUNTIFS(面试预约入职信息表!$G$6:$G$20000,C14,面试预约入职信息表!$N$6:$N$20000,"☑",面试预约入职信息表!$I$6:$I$20000,$G$12)</f>
        <v>1</v>
      </c>
      <c r="H14" s="32">
        <f>COUNTIFS(面试预约入职信息表!$G$6:$G$20000,C14,面试预约入职信息表!$N$6:$N$20000,"☑",面试预约入职信息表!$I$6:$I$20000,$H$12)</f>
        <v>0</v>
      </c>
      <c r="I14" s="32">
        <f>COUNTIFS(面试预约入职信息表!$G$6:$G$20000,C14,面试预约入职信息表!$N$6:$N$20000,"☑",面试预约入职信息表!$I$6:$I$20000,$I$12)</f>
        <v>0</v>
      </c>
      <c r="J14" s="32">
        <f>COUNTIFS(面试预约入职信息表!$G$6:$G$20000,C14,面试预约入职信息表!$N$6:$N$20000,"☑",面试预约入职信息表!$I$6:$I$20000,$J$12)</f>
        <v>0</v>
      </c>
      <c r="K14" s="32">
        <f>COUNTIFS(面试预约入职信息表!$G$6:$G$20000,C14,面试预约入职信息表!$N$6:$N$20000,"☑",面试预约入职信息表!$I$6:$I$20000,$K$12)</f>
        <v>0</v>
      </c>
      <c r="L14" s="32">
        <f>G14+H14+I14+J14+K14</f>
        <v>1</v>
      </c>
      <c r="M14" s="38">
        <f>L14/E14</f>
        <v>0.5</v>
      </c>
      <c r="N14" s="32"/>
    </row>
    <row r="15" customHeight="1" spans="2:14">
      <c r="B15" s="33">
        <v>2</v>
      </c>
      <c r="C15" s="33" t="s">
        <v>16</v>
      </c>
      <c r="D15" s="33">
        <v>4</v>
      </c>
      <c r="E15" s="33">
        <f>COUNTIF(面试预约入职信息表!$G$6:$G$20000,C15)</f>
        <v>2</v>
      </c>
      <c r="F15" s="33">
        <f>COUNTIFS(面试预约入职信息表!$G$6:$G$20000,C15,面试预约入职信息表!$M$6:$M$20000,"☑")</f>
        <v>2</v>
      </c>
      <c r="G15" s="33">
        <f>COUNTIFS(面试预约入职信息表!$G$6:$G$20000,C15,面试预约入职信息表!$N$6:$N$20000,"☑",面试预约入职信息表!$I$6:$I$20000,$G$12)</f>
        <v>0</v>
      </c>
      <c r="H15" s="33">
        <f>COUNTIFS(面试预约入职信息表!$G$6:$G$20000,C15,面试预约入职信息表!$N$6:$N$20000,"☑",面试预约入职信息表!$I$6:$I$20000,$H$12)</f>
        <v>1</v>
      </c>
      <c r="I15" s="33">
        <f>COUNTIFS(面试预约入职信息表!$G$6:$G$20000,C15,面试预约入职信息表!$N$6:$N$20000,"☑",面试预约入职信息表!$I$6:$I$20000,$I$12)</f>
        <v>0</v>
      </c>
      <c r="J15" s="33">
        <f>COUNTIFS(面试预约入职信息表!$G$6:$G$20000,C15,面试预约入职信息表!$N$6:$N$20000,"☑",面试预约入职信息表!$I$6:$I$20000,$J$12)</f>
        <v>0</v>
      </c>
      <c r="K15" s="33">
        <f>COUNTIFS(面试预约入职信息表!$G$6:$G$20000,C15,面试预约入职信息表!$N$6:$N$20000,"☑",面试预约入职信息表!$I$6:$I$20000,$K$12)</f>
        <v>1</v>
      </c>
      <c r="L15" s="33">
        <f t="shared" ref="L15:L25" si="0">G15+H15+I15+J15+K15</f>
        <v>2</v>
      </c>
      <c r="M15" s="39">
        <f t="shared" ref="M15:M25" si="1">L15/E15</f>
        <v>1</v>
      </c>
      <c r="N15" s="33"/>
    </row>
    <row r="16" customHeight="1" spans="2:14">
      <c r="B16" s="33">
        <v>3</v>
      </c>
      <c r="C16" s="33" t="s">
        <v>17</v>
      </c>
      <c r="D16" s="33">
        <v>3</v>
      </c>
      <c r="E16" s="33">
        <f>COUNTIF(面试预约入职信息表!$G$6:$G$20000,C16)</f>
        <v>2</v>
      </c>
      <c r="F16" s="33">
        <f>COUNTIFS(面试预约入职信息表!$G$6:$G$20000,C16,面试预约入职信息表!$M$6:$M$20000,"☑")</f>
        <v>0</v>
      </c>
      <c r="G16" s="33">
        <f>COUNTIFS(面试预约入职信息表!$G$6:$G$20000,C16,面试预约入职信息表!$N$6:$N$20000,"☑",面试预约入职信息表!$I$6:$I$20000,$G$12)</f>
        <v>0</v>
      </c>
      <c r="H16" s="33">
        <f>COUNTIFS(面试预约入职信息表!$G$6:$G$20000,C16,面试预约入职信息表!$N$6:$N$20000,"☑",面试预约入职信息表!$I$6:$I$20000,$H$12)</f>
        <v>0</v>
      </c>
      <c r="I16" s="33">
        <f>COUNTIFS(面试预约入职信息表!$G$6:$G$20000,C16,面试预约入职信息表!$N$6:$N$20000,"☑",面试预约入职信息表!$I$6:$I$20000,$I$12)</f>
        <v>0</v>
      </c>
      <c r="J16" s="33">
        <f>COUNTIFS(面试预约入职信息表!$G$6:$G$20000,C16,面试预约入职信息表!$N$6:$N$20000,"☑",面试预约入职信息表!$I$6:$I$20000,$J$12)</f>
        <v>0</v>
      </c>
      <c r="K16" s="33">
        <f>COUNTIFS(面试预约入职信息表!$G$6:$G$20000,C16,面试预约入职信息表!$N$6:$N$20000,"☑",面试预约入职信息表!$I$6:$I$20000,$K$12)</f>
        <v>0</v>
      </c>
      <c r="L16" s="33">
        <f t="shared" si="0"/>
        <v>0</v>
      </c>
      <c r="M16" s="39">
        <f t="shared" si="1"/>
        <v>0</v>
      </c>
      <c r="N16" s="33"/>
    </row>
    <row r="17" customHeight="1" spans="2:14">
      <c r="B17" s="33">
        <v>4</v>
      </c>
      <c r="C17" s="33" t="s">
        <v>18</v>
      </c>
      <c r="D17" s="33">
        <v>4</v>
      </c>
      <c r="E17" s="33">
        <f>COUNTIF(面试预约入职信息表!$G$6:$G$20000,C17)</f>
        <v>2</v>
      </c>
      <c r="F17" s="33">
        <f>COUNTIFS(面试预约入职信息表!$G$6:$G$20000,C17,面试预约入职信息表!$M$6:$M$20000,"☑")</f>
        <v>2</v>
      </c>
      <c r="G17" s="33">
        <f>COUNTIFS(面试预约入职信息表!$G$6:$G$20000,C17,面试预约入职信息表!$N$6:$N$20000,"☑",面试预约入职信息表!$I$6:$I$20000,$G$12)</f>
        <v>1</v>
      </c>
      <c r="H17" s="33">
        <f>COUNTIFS(面试预约入职信息表!$G$6:$G$20000,C17,面试预约入职信息表!$N$6:$N$20000,"☑",面试预约入职信息表!$I$6:$I$20000,$H$12)</f>
        <v>0</v>
      </c>
      <c r="I17" s="33">
        <f>COUNTIFS(面试预约入职信息表!$G$6:$G$20000,C17,面试预约入职信息表!$N$6:$N$20000,"☑",面试预约入职信息表!$I$6:$I$20000,$I$12)</f>
        <v>0</v>
      </c>
      <c r="J17" s="33">
        <f>COUNTIFS(面试预约入职信息表!$G$6:$G$20000,C17,面试预约入职信息表!$N$6:$N$20000,"☑",面试预约入职信息表!$I$6:$I$20000,$J$12)</f>
        <v>1</v>
      </c>
      <c r="K17" s="33">
        <f>COUNTIFS(面试预约入职信息表!$G$6:$G$20000,C17,面试预约入职信息表!$N$6:$N$20000,"☑",面试预约入职信息表!$I$6:$I$20000,$K$12)</f>
        <v>0</v>
      </c>
      <c r="L17" s="33">
        <f t="shared" si="0"/>
        <v>2</v>
      </c>
      <c r="M17" s="39">
        <f t="shared" si="1"/>
        <v>1</v>
      </c>
      <c r="N17" s="33"/>
    </row>
    <row r="18" customHeight="1" spans="2:14">
      <c r="B18" s="33">
        <v>5</v>
      </c>
      <c r="C18" s="33" t="s">
        <v>19</v>
      </c>
      <c r="D18" s="33">
        <v>2</v>
      </c>
      <c r="E18" s="33">
        <f>COUNTIF(面试预约入职信息表!$G$6:$G$20000,C18)</f>
        <v>2</v>
      </c>
      <c r="F18" s="33">
        <f>COUNTIFS(面试预约入职信息表!$G$6:$G$20000,C18,面试预约入职信息表!$M$6:$M$20000,"☑")</f>
        <v>2</v>
      </c>
      <c r="G18" s="33">
        <f>COUNTIFS(面试预约入职信息表!$G$6:$G$20000,C18,面试预约入职信息表!$N$6:$N$20000,"☑",面试预约入职信息表!$I$6:$I$20000,$G$12)</f>
        <v>1</v>
      </c>
      <c r="H18" s="33">
        <f>COUNTIFS(面试预约入职信息表!$G$6:$G$20000,C18,面试预约入职信息表!$N$6:$N$20000,"☑",面试预约入职信息表!$I$6:$I$20000,$H$12)</f>
        <v>0</v>
      </c>
      <c r="I18" s="33">
        <f>COUNTIFS(面试预约入职信息表!$G$6:$G$20000,C18,面试预约入职信息表!$N$6:$N$20000,"☑",面试预约入职信息表!$I$6:$I$20000,$I$12)</f>
        <v>1</v>
      </c>
      <c r="J18" s="33">
        <f>COUNTIFS(面试预约入职信息表!$G$6:$G$20000,C18,面试预约入职信息表!$N$6:$N$20000,"☑",面试预约入职信息表!$I$6:$I$20000,$J$12)</f>
        <v>0</v>
      </c>
      <c r="K18" s="33">
        <f>COUNTIFS(面试预约入职信息表!$G$6:$G$20000,C18,面试预约入职信息表!$N$6:$N$20000,"☑",面试预约入职信息表!$I$6:$I$20000,$K$12)</f>
        <v>0</v>
      </c>
      <c r="L18" s="33">
        <f t="shared" si="0"/>
        <v>2</v>
      </c>
      <c r="M18" s="39">
        <f t="shared" si="1"/>
        <v>1</v>
      </c>
      <c r="N18" s="33"/>
    </row>
    <row r="19" customHeight="1" spans="2:14">
      <c r="B19" s="33">
        <v>6</v>
      </c>
      <c r="C19" s="33" t="s">
        <v>20</v>
      </c>
      <c r="D19" s="33">
        <v>4</v>
      </c>
      <c r="E19" s="33">
        <f>COUNTIF(面试预约入职信息表!$G$6:$G$20000,C19)</f>
        <v>2</v>
      </c>
      <c r="F19" s="33">
        <f>COUNTIFS(面试预约入职信息表!$G$6:$G$20000,C19,面试预约入职信息表!$M$6:$M$20000,"☑")</f>
        <v>0</v>
      </c>
      <c r="G19" s="33">
        <f>COUNTIFS(面试预约入职信息表!$G$6:$G$20000,C19,面试预约入职信息表!$N$6:$N$20000,"☑",面试预约入职信息表!$I$6:$I$20000,$G$12)</f>
        <v>0</v>
      </c>
      <c r="H19" s="33">
        <f>COUNTIFS(面试预约入职信息表!$G$6:$G$20000,C19,面试预约入职信息表!$N$6:$N$20000,"☑",面试预约入职信息表!$I$6:$I$20000,$H$12)</f>
        <v>0</v>
      </c>
      <c r="I19" s="33">
        <f>COUNTIFS(面试预约入职信息表!$G$6:$G$20000,C19,面试预约入职信息表!$N$6:$N$20000,"☑",面试预约入职信息表!$I$6:$I$20000,$I$12)</f>
        <v>0</v>
      </c>
      <c r="J19" s="33">
        <f>COUNTIFS(面试预约入职信息表!$G$6:$G$20000,C19,面试预约入职信息表!$N$6:$N$20000,"☑",面试预约入职信息表!$I$6:$I$20000,$J$12)</f>
        <v>0</v>
      </c>
      <c r="K19" s="33">
        <f>COUNTIFS(面试预约入职信息表!$G$6:$G$20000,C19,面试预约入职信息表!$N$6:$N$20000,"☑",面试预约入职信息表!$I$6:$I$20000,$K$12)</f>
        <v>0</v>
      </c>
      <c r="L19" s="33">
        <f t="shared" si="0"/>
        <v>0</v>
      </c>
      <c r="M19" s="39">
        <f t="shared" si="1"/>
        <v>0</v>
      </c>
      <c r="N19" s="33"/>
    </row>
    <row r="20" customHeight="1" spans="2:14">
      <c r="B20" s="33">
        <v>7</v>
      </c>
      <c r="C20" s="33" t="s">
        <v>21</v>
      </c>
      <c r="D20" s="33">
        <v>2</v>
      </c>
      <c r="E20" s="33">
        <f>COUNTIF(面试预约入职信息表!$G$6:$G$20000,C20)</f>
        <v>2</v>
      </c>
      <c r="F20" s="33">
        <f>COUNTIFS(面试预约入职信息表!$G$6:$G$20000,C20,面试预约入职信息表!$M$6:$M$20000,"☑")</f>
        <v>2</v>
      </c>
      <c r="G20" s="33">
        <f>COUNTIFS(面试预约入职信息表!$G$6:$G$20000,C20,面试预约入职信息表!$N$6:$N$20000,"☑",面试预约入职信息表!$I$6:$I$20000,$G$12)</f>
        <v>1</v>
      </c>
      <c r="H20" s="33">
        <f>COUNTIFS(面试预约入职信息表!$G$6:$G$20000,C20,面试预约入职信息表!$N$6:$N$20000,"☑",面试预约入职信息表!$I$6:$I$20000,$H$12)</f>
        <v>0</v>
      </c>
      <c r="I20" s="33">
        <f>COUNTIFS(面试预约入职信息表!$G$6:$G$20000,C20,面试预约入职信息表!$N$6:$N$20000,"☑",面试预约入职信息表!$I$6:$I$20000,$I$12)</f>
        <v>1</v>
      </c>
      <c r="J20" s="33">
        <f>COUNTIFS(面试预约入职信息表!$G$6:$G$20000,C20,面试预约入职信息表!$N$6:$N$20000,"☑",面试预约入职信息表!$I$6:$I$20000,$J$12)</f>
        <v>0</v>
      </c>
      <c r="K20" s="33">
        <f>COUNTIFS(面试预约入职信息表!$G$6:$G$20000,C20,面试预约入职信息表!$N$6:$N$20000,"☑",面试预约入职信息表!$I$6:$I$20000,$K$12)</f>
        <v>0</v>
      </c>
      <c r="L20" s="33">
        <f t="shared" si="0"/>
        <v>2</v>
      </c>
      <c r="M20" s="39">
        <f t="shared" si="1"/>
        <v>1</v>
      </c>
      <c r="N20" s="33"/>
    </row>
    <row r="21" customHeight="1" spans="2:14">
      <c r="B21" s="33">
        <v>8</v>
      </c>
      <c r="C21" s="33" t="s">
        <v>22</v>
      </c>
      <c r="D21" s="33">
        <v>3</v>
      </c>
      <c r="E21" s="33">
        <f>COUNTIF(面试预约入职信息表!$G$6:$G$20000,C21)</f>
        <v>2</v>
      </c>
      <c r="F21" s="33">
        <f>COUNTIFS(面试预约入职信息表!$G$6:$G$20000,C21,面试预约入职信息表!$M$6:$M$20000,"☑")</f>
        <v>0</v>
      </c>
      <c r="G21" s="33">
        <f>COUNTIFS(面试预约入职信息表!$G$6:$G$20000,C21,面试预约入职信息表!$N$6:$N$20000,"☑",面试预约入职信息表!$I$6:$I$20000,$G$12)</f>
        <v>0</v>
      </c>
      <c r="H21" s="33">
        <f>COUNTIFS(面试预约入职信息表!$G$6:$G$20000,C21,面试预约入职信息表!$N$6:$N$20000,"☑",面试预约入职信息表!$I$6:$I$20000,$H$12)</f>
        <v>0</v>
      </c>
      <c r="I21" s="33">
        <f>COUNTIFS(面试预约入职信息表!$G$6:$G$20000,C21,面试预约入职信息表!$N$6:$N$20000,"☑",面试预约入职信息表!$I$6:$I$20000,$I$12)</f>
        <v>0</v>
      </c>
      <c r="J21" s="33">
        <f>COUNTIFS(面试预约入职信息表!$G$6:$G$20000,C21,面试预约入职信息表!$N$6:$N$20000,"☑",面试预约入职信息表!$I$6:$I$20000,$J$12)</f>
        <v>0</v>
      </c>
      <c r="K21" s="33">
        <f>COUNTIFS(面试预约入职信息表!$G$6:$G$20000,C21,面试预约入职信息表!$N$6:$N$20000,"☑",面试预约入职信息表!$I$6:$I$20000,$K$12)</f>
        <v>0</v>
      </c>
      <c r="L21" s="33">
        <f t="shared" si="0"/>
        <v>0</v>
      </c>
      <c r="M21" s="39">
        <f t="shared" si="1"/>
        <v>0</v>
      </c>
      <c r="N21" s="33"/>
    </row>
    <row r="22" customHeight="1" spans="2:14">
      <c r="B22" s="33">
        <v>9</v>
      </c>
      <c r="C22" s="33" t="s">
        <v>23</v>
      </c>
      <c r="D22" s="33">
        <v>5</v>
      </c>
      <c r="E22" s="33">
        <f>COUNTIF(面试预约入职信息表!$G$6:$G$20000,C22)</f>
        <v>2</v>
      </c>
      <c r="F22" s="33">
        <f>COUNTIFS(面试预约入职信息表!$G$6:$G$20000,C22,面试预约入职信息表!$M$6:$M$20000,"☑")</f>
        <v>1</v>
      </c>
      <c r="G22" s="33">
        <f>COUNTIFS(面试预约入职信息表!$G$6:$G$20000,C22,面试预约入职信息表!$N$6:$N$20000,"☑",面试预约入职信息表!$I$6:$I$20000,$G$12)</f>
        <v>0</v>
      </c>
      <c r="H22" s="33">
        <f>COUNTIFS(面试预约入职信息表!$G$6:$G$20000,C22,面试预约入职信息表!$N$6:$N$20000,"☑",面试预约入职信息表!$I$6:$I$20000,$H$12)</f>
        <v>1</v>
      </c>
      <c r="I22" s="33">
        <f>COUNTIFS(面试预约入职信息表!$G$6:$G$20000,C22,面试预约入职信息表!$N$6:$N$20000,"☑",面试预约入职信息表!$I$6:$I$20000,$I$12)</f>
        <v>0</v>
      </c>
      <c r="J22" s="33">
        <f>COUNTIFS(面试预约入职信息表!$G$6:$G$20000,C22,面试预约入职信息表!$N$6:$N$20000,"☑",面试预约入职信息表!$I$6:$I$20000,$J$12)</f>
        <v>0</v>
      </c>
      <c r="K22" s="33">
        <f>COUNTIFS(面试预约入职信息表!$G$6:$G$20000,C22,面试预约入职信息表!$N$6:$N$20000,"☑",面试预约入职信息表!$I$6:$I$20000,$K$12)</f>
        <v>0</v>
      </c>
      <c r="L22" s="33">
        <f t="shared" si="0"/>
        <v>1</v>
      </c>
      <c r="M22" s="39">
        <f t="shared" si="1"/>
        <v>0.5</v>
      </c>
      <c r="N22" s="33"/>
    </row>
    <row r="23" customHeight="1" spans="2:14">
      <c r="B23" s="33">
        <v>10</v>
      </c>
      <c r="C23" s="33" t="s">
        <v>24</v>
      </c>
      <c r="D23" s="33">
        <v>2</v>
      </c>
      <c r="E23" s="33">
        <f>COUNTIF(面试预约入职信息表!$G$6:$G$20000,C23)</f>
        <v>2</v>
      </c>
      <c r="F23" s="33">
        <f>COUNTIFS(面试预约入职信息表!$G$6:$G$20000,C23,面试预约入职信息表!$M$6:$M$20000,"☑")</f>
        <v>1</v>
      </c>
      <c r="G23" s="33">
        <f>COUNTIFS(面试预约入职信息表!$G$6:$G$20000,C23,面试预约入职信息表!$N$6:$N$20000,"☑",面试预约入职信息表!$I$6:$I$20000,$G$12)</f>
        <v>0</v>
      </c>
      <c r="H23" s="33">
        <f>COUNTIFS(面试预约入职信息表!$G$6:$G$20000,C23,面试预约入职信息表!$N$6:$N$20000,"☑",面试预约入职信息表!$I$6:$I$20000,$H$12)</f>
        <v>0</v>
      </c>
      <c r="I23" s="33">
        <f>COUNTIFS(面试预约入职信息表!$G$6:$G$20000,C23,面试预约入职信息表!$N$6:$N$20000,"☑",面试预约入职信息表!$I$6:$I$20000,$I$12)</f>
        <v>1</v>
      </c>
      <c r="J23" s="33">
        <f>COUNTIFS(面试预约入职信息表!$G$6:$G$20000,C23,面试预约入职信息表!$N$6:$N$20000,"☑",面试预约入职信息表!$I$6:$I$20000,$J$12)</f>
        <v>0</v>
      </c>
      <c r="K23" s="33">
        <f>COUNTIFS(面试预约入职信息表!$G$6:$G$20000,C23,面试预约入职信息表!$N$6:$N$20000,"☑",面试预约入职信息表!$I$6:$I$20000,$K$12)</f>
        <v>0</v>
      </c>
      <c r="L23" s="33">
        <f t="shared" si="0"/>
        <v>1</v>
      </c>
      <c r="M23" s="39">
        <f t="shared" si="1"/>
        <v>0.5</v>
      </c>
      <c r="N23" s="33"/>
    </row>
    <row r="24" customHeight="1" spans="2:14">
      <c r="B24" s="33">
        <v>11</v>
      </c>
      <c r="C24" s="33" t="s">
        <v>25</v>
      </c>
      <c r="D24" s="33">
        <v>4</v>
      </c>
      <c r="E24" s="33">
        <f>COUNTIF(面试预约入职信息表!$G$6:$G$20000,C24)</f>
        <v>2</v>
      </c>
      <c r="F24" s="33">
        <f>COUNTIFS(面试预约入职信息表!$G$6:$G$20000,C24,面试预约入职信息表!$M$6:$M$20000,"☑")</f>
        <v>1</v>
      </c>
      <c r="G24" s="33">
        <f>COUNTIFS(面试预约入职信息表!$G$6:$G$20000,C24,面试预约入职信息表!$N$6:$N$20000,"☑",面试预约入职信息表!$I$6:$I$20000,$G$12)</f>
        <v>0</v>
      </c>
      <c r="H24" s="33">
        <f>COUNTIFS(面试预约入职信息表!$G$6:$G$20000,C24,面试预约入职信息表!$N$6:$N$20000,"☑",面试预约入职信息表!$I$6:$I$20000,$H$12)</f>
        <v>0</v>
      </c>
      <c r="I24" s="33">
        <f>COUNTIFS(面试预约入职信息表!$G$6:$G$20000,C24,面试预约入职信息表!$N$6:$N$20000,"☑",面试预约入职信息表!$I$6:$I$20000,$I$12)</f>
        <v>0</v>
      </c>
      <c r="J24" s="33">
        <f>COUNTIFS(面试预约入职信息表!$G$6:$G$20000,C24,面试预约入职信息表!$N$6:$N$20000,"☑",面试预约入职信息表!$I$6:$I$20000,$J$12)</f>
        <v>1</v>
      </c>
      <c r="K24" s="33">
        <f>COUNTIFS(面试预约入职信息表!$G$6:$G$20000,C24,面试预约入职信息表!$N$6:$N$20000,"☑",面试预约入职信息表!$I$6:$I$20000,$K$12)</f>
        <v>0</v>
      </c>
      <c r="L24" s="33">
        <f t="shared" si="0"/>
        <v>1</v>
      </c>
      <c r="M24" s="39">
        <f t="shared" si="1"/>
        <v>0.5</v>
      </c>
      <c r="N24" s="33"/>
    </row>
    <row r="25" customHeight="1" spans="2:14">
      <c r="B25" s="33">
        <v>12</v>
      </c>
      <c r="C25" s="33" t="s">
        <v>26</v>
      </c>
      <c r="D25" s="33">
        <v>2</v>
      </c>
      <c r="E25" s="33">
        <f>COUNTIF(面试预约入职信息表!$G$6:$G$20000,C25)</f>
        <v>2</v>
      </c>
      <c r="F25" s="33">
        <f>COUNTIFS(面试预约入职信息表!$G$6:$G$20000,C25,面试预约入职信息表!$M$6:$M$20000,"☑")</f>
        <v>2</v>
      </c>
      <c r="G25" s="33">
        <f>COUNTIFS(面试预约入职信息表!$G$6:$G$20000,C25,面试预约入职信息表!$N$6:$N$20000,"☑",面试预约入职信息表!$I$6:$I$20000,$G$12)</f>
        <v>0</v>
      </c>
      <c r="H25" s="33">
        <f>COUNTIFS(面试预约入职信息表!$G$6:$G$20000,C25,面试预约入职信息表!$N$6:$N$20000,"☑",面试预约入职信息表!$I$6:$I$20000,$H$12)</f>
        <v>0</v>
      </c>
      <c r="I25" s="33">
        <f>COUNTIFS(面试预约入职信息表!$G$6:$G$20000,C25,面试预约入职信息表!$N$6:$N$20000,"☑",面试预约入职信息表!$I$6:$I$20000,$I$12)</f>
        <v>0</v>
      </c>
      <c r="J25" s="33">
        <f>COUNTIFS(面试预约入职信息表!$G$6:$G$20000,C25,面试预约入职信息表!$N$6:$N$20000,"☑",面试预约入职信息表!$I$6:$I$20000,$J$12)</f>
        <v>0</v>
      </c>
      <c r="K25" s="33">
        <f>COUNTIFS(面试预约入职信息表!$G$6:$G$20000,C25,面试预约入职信息表!$N$6:$N$20000,"☑",面试预约入职信息表!$I$6:$I$20000,$K$12)</f>
        <v>2</v>
      </c>
      <c r="L25" s="33">
        <f t="shared" si="0"/>
        <v>2</v>
      </c>
      <c r="M25" s="39">
        <f t="shared" si="1"/>
        <v>1</v>
      </c>
      <c r="N25" s="33"/>
    </row>
  </sheetData>
  <mergeCells count="10">
    <mergeCell ref="B2:N2"/>
    <mergeCell ref="G11:K11"/>
    <mergeCell ref="B11:B13"/>
    <mergeCell ref="C11:C13"/>
    <mergeCell ref="D11:D13"/>
    <mergeCell ref="E11:E13"/>
    <mergeCell ref="F11:F13"/>
    <mergeCell ref="L11:L13"/>
    <mergeCell ref="M11:M13"/>
    <mergeCell ref="N11:N13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T30"/>
  <sheetViews>
    <sheetView showGridLines="0" workbookViewId="0">
      <selection activeCell="T14" sqref="T14"/>
    </sheetView>
  </sheetViews>
  <sheetFormatPr defaultColWidth="8.875" defaultRowHeight="24.95" customHeight="1"/>
  <cols>
    <col min="1" max="1" width="3.5" style="4" customWidth="1"/>
    <col min="2" max="2" width="4.5" style="4" customWidth="1"/>
    <col min="3" max="4" width="12.125" style="4" customWidth="1"/>
    <col min="5" max="6" width="5.375" style="4" customWidth="1"/>
    <col min="7" max="7" width="12.25" style="4" customWidth="1"/>
    <col min="8" max="8" width="14.625" style="4" customWidth="1"/>
    <col min="9" max="9" width="10.5" style="4" customWidth="1"/>
    <col min="10" max="12" width="7.125" style="5" customWidth="1"/>
    <col min="13" max="14" width="10.5" style="5" customWidth="1"/>
    <col min="15" max="15" width="11.75" style="4" customWidth="1"/>
    <col min="16" max="16" width="10.5" style="4" customWidth="1"/>
    <col min="17" max="17" width="3.375" style="4" customWidth="1"/>
    <col min="18" max="16384" width="8.875" style="4"/>
  </cols>
  <sheetData>
    <row r="1" ht="18" customHeight="1"/>
    <row r="2" ht="30" customHeight="1" spans="2:16">
      <c r="B2" s="6" t="s">
        <v>27</v>
      </c>
      <c r="C2" s="6"/>
      <c r="D2" s="6"/>
      <c r="E2" s="6"/>
      <c r="F2" s="6"/>
      <c r="G2" s="6"/>
      <c r="H2" s="6"/>
      <c r="I2" s="6"/>
      <c r="J2" s="15"/>
      <c r="K2" s="15"/>
      <c r="L2" s="15"/>
      <c r="M2" s="15"/>
      <c r="N2" s="15"/>
      <c r="O2" s="6"/>
      <c r="P2" s="6"/>
    </row>
    <row r="3" ht="15.95" customHeight="1"/>
    <row r="4" ht="24" customHeight="1" spans="2:16">
      <c r="B4" s="7" t="s">
        <v>1</v>
      </c>
      <c r="C4" s="7" t="s">
        <v>28</v>
      </c>
      <c r="D4" s="7" t="s">
        <v>29</v>
      </c>
      <c r="E4" s="7" t="s">
        <v>30</v>
      </c>
      <c r="F4" s="7" t="s">
        <v>31</v>
      </c>
      <c r="G4" s="8" t="s">
        <v>32</v>
      </c>
      <c r="H4" s="7" t="s">
        <v>33</v>
      </c>
      <c r="I4" s="7" t="s">
        <v>34</v>
      </c>
      <c r="J4" s="16" t="s">
        <v>35</v>
      </c>
      <c r="K4" s="16"/>
      <c r="L4" s="16"/>
      <c r="M4" s="16" t="s">
        <v>36</v>
      </c>
      <c r="N4" s="16" t="s">
        <v>37</v>
      </c>
      <c r="O4" s="16" t="s">
        <v>38</v>
      </c>
      <c r="P4" s="16" t="s">
        <v>9</v>
      </c>
    </row>
    <row r="5" s="3" customFormat="1" ht="24" customHeight="1" spans="2:20">
      <c r="B5" s="8"/>
      <c r="C5" s="8"/>
      <c r="D5" s="8"/>
      <c r="E5" s="8"/>
      <c r="F5" s="8"/>
      <c r="G5" s="9"/>
      <c r="H5" s="8"/>
      <c r="I5" s="8"/>
      <c r="J5" s="8" t="s">
        <v>39</v>
      </c>
      <c r="K5" s="8" t="s">
        <v>39</v>
      </c>
      <c r="L5" s="8" t="s">
        <v>39</v>
      </c>
      <c r="M5" s="17"/>
      <c r="N5" s="17"/>
      <c r="O5" s="17"/>
      <c r="P5" s="17"/>
      <c r="R5" s="3" t="s">
        <v>40</v>
      </c>
      <c r="S5" s="22">
        <v>2022</v>
      </c>
      <c r="T5" s="23">
        <f ca="1">MONTH(TODAY())</f>
        <v>8</v>
      </c>
    </row>
    <row r="6" customHeight="1" spans="2:20">
      <c r="B6" s="10">
        <v>1</v>
      </c>
      <c r="C6" s="11">
        <v>44615</v>
      </c>
      <c r="D6" s="10" t="s">
        <v>41</v>
      </c>
      <c r="E6" s="10" t="s">
        <v>42</v>
      </c>
      <c r="F6" s="10">
        <v>25</v>
      </c>
      <c r="G6" s="10" t="s">
        <v>15</v>
      </c>
      <c r="H6" s="10" t="s">
        <v>43</v>
      </c>
      <c r="I6" s="10" t="s">
        <v>10</v>
      </c>
      <c r="J6" s="18" t="s">
        <v>44</v>
      </c>
      <c r="K6" s="18" t="s">
        <v>44</v>
      </c>
      <c r="L6" s="19" t="s">
        <v>44</v>
      </c>
      <c r="M6" s="19" t="s">
        <v>44</v>
      </c>
      <c r="N6" s="19" t="s">
        <v>44</v>
      </c>
      <c r="O6" s="11">
        <v>44592</v>
      </c>
      <c r="P6" s="10"/>
      <c r="R6" s="8" t="s">
        <v>45</v>
      </c>
      <c r="S6" s="8" t="s">
        <v>4</v>
      </c>
      <c r="T6" s="8" t="s">
        <v>6</v>
      </c>
    </row>
    <row r="7" customHeight="1" spans="2:20">
      <c r="B7" s="12">
        <v>2</v>
      </c>
      <c r="C7" s="13">
        <v>44574</v>
      </c>
      <c r="D7" s="12" t="s">
        <v>46</v>
      </c>
      <c r="E7" s="12" t="s">
        <v>42</v>
      </c>
      <c r="F7" s="12">
        <v>22</v>
      </c>
      <c r="G7" s="12" t="s">
        <v>16</v>
      </c>
      <c r="H7" s="12" t="s">
        <v>47</v>
      </c>
      <c r="I7" s="12" t="s">
        <v>11</v>
      </c>
      <c r="J7" s="20" t="s">
        <v>44</v>
      </c>
      <c r="K7" s="20" t="s">
        <v>44</v>
      </c>
      <c r="L7" s="20" t="s">
        <v>44</v>
      </c>
      <c r="M7" s="20" t="s">
        <v>44</v>
      </c>
      <c r="N7" s="20" t="s">
        <v>44</v>
      </c>
      <c r="O7" s="13">
        <v>44620</v>
      </c>
      <c r="P7" s="12"/>
      <c r="R7" s="24" t="s">
        <v>48</v>
      </c>
      <c r="S7" s="24">
        <f>SUMPRODUCT((YEAR($C$6:$C$20000)=$S$5)*(MONTH($C$6:$C$20000)=1))</f>
        <v>2</v>
      </c>
      <c r="T7" s="24">
        <f>SUMPRODUCT((YEAR($O$6:$O$20000)=$S$5)*(MONTH($O$6:$O$20000)=1))</f>
        <v>1</v>
      </c>
    </row>
    <row r="8" customHeight="1" spans="2:20">
      <c r="B8" s="12">
        <v>3</v>
      </c>
      <c r="C8" s="13">
        <v>44606</v>
      </c>
      <c r="D8" s="12" t="s">
        <v>49</v>
      </c>
      <c r="E8" s="12" t="s">
        <v>50</v>
      </c>
      <c r="F8" s="12">
        <v>27</v>
      </c>
      <c r="G8" s="12" t="s">
        <v>17</v>
      </c>
      <c r="H8" s="12" t="s">
        <v>51</v>
      </c>
      <c r="I8" s="12" t="s">
        <v>12</v>
      </c>
      <c r="J8" s="20" t="s">
        <v>44</v>
      </c>
      <c r="K8" s="20" t="s">
        <v>52</v>
      </c>
      <c r="L8" s="20" t="s">
        <v>53</v>
      </c>
      <c r="M8" s="20" t="s">
        <v>52</v>
      </c>
      <c r="N8" s="20" t="s">
        <v>53</v>
      </c>
      <c r="O8" s="13"/>
      <c r="P8" s="12"/>
      <c r="R8" s="25" t="s">
        <v>54</v>
      </c>
      <c r="S8" s="24">
        <f>SUMPRODUCT((YEAR($C$6:$C$20000)=$S$5)*(MONTH($C$6:$C$20000)=2))</f>
        <v>4</v>
      </c>
      <c r="T8" s="24">
        <f>SUMPRODUCT((YEAR($O$6:$O$20000)=$S$5)*(MONTH($O$6:$O$20000)=2))</f>
        <v>1</v>
      </c>
    </row>
    <row r="9" customHeight="1" spans="2:20">
      <c r="B9" s="12">
        <v>4</v>
      </c>
      <c r="C9" s="13">
        <v>44635</v>
      </c>
      <c r="D9" s="12" t="s">
        <v>55</v>
      </c>
      <c r="E9" s="12" t="s">
        <v>42</v>
      </c>
      <c r="F9" s="12">
        <v>31</v>
      </c>
      <c r="G9" s="12" t="s">
        <v>18</v>
      </c>
      <c r="H9" s="12" t="s">
        <v>56</v>
      </c>
      <c r="I9" s="12" t="s">
        <v>13</v>
      </c>
      <c r="J9" s="21" t="s">
        <v>44</v>
      </c>
      <c r="K9" s="21" t="s">
        <v>44</v>
      </c>
      <c r="L9" s="20" t="s">
        <v>44</v>
      </c>
      <c r="M9" s="20" t="s">
        <v>44</v>
      </c>
      <c r="N9" s="20" t="s">
        <v>44</v>
      </c>
      <c r="O9" s="13">
        <v>44681</v>
      </c>
      <c r="P9" s="12"/>
      <c r="R9" s="25" t="s">
        <v>57</v>
      </c>
      <c r="S9" s="24">
        <f>SUMPRODUCT((YEAR($C$6:$C$20000)=$S$5)*(MONTH($C$6:$C$20000)=3))</f>
        <v>2</v>
      </c>
      <c r="T9" s="24">
        <f>SUMPRODUCT((YEAR($O$6:$O$20000)=$S$5)*(MONTH($O$6:$O$20000)=3))</f>
        <v>1</v>
      </c>
    </row>
    <row r="10" customHeight="1" spans="2:20">
      <c r="B10" s="12">
        <v>5</v>
      </c>
      <c r="C10" s="13">
        <v>44667</v>
      </c>
      <c r="D10" s="12" t="s">
        <v>58</v>
      </c>
      <c r="E10" s="12" t="s">
        <v>42</v>
      </c>
      <c r="F10" s="12">
        <v>40</v>
      </c>
      <c r="G10" s="12" t="s">
        <v>19</v>
      </c>
      <c r="H10" s="12" t="s">
        <v>59</v>
      </c>
      <c r="I10" s="12" t="s">
        <v>12</v>
      </c>
      <c r="J10" s="20" t="s">
        <v>44</v>
      </c>
      <c r="K10" s="20" t="s">
        <v>44</v>
      </c>
      <c r="L10" s="20" t="s">
        <v>44</v>
      </c>
      <c r="M10" s="20" t="s">
        <v>44</v>
      </c>
      <c r="N10" s="20" t="s">
        <v>44</v>
      </c>
      <c r="O10" s="13">
        <v>44712</v>
      </c>
      <c r="P10" s="12"/>
      <c r="R10" s="25" t="s">
        <v>60</v>
      </c>
      <c r="S10" s="24">
        <f>SUMPRODUCT((YEAR($C$6:$C$20000)=$S$5)*(MONTH($C$6:$C$20000)=4))</f>
        <v>2</v>
      </c>
      <c r="T10" s="24">
        <f>SUMPRODUCT((YEAR($O$6:$O$20000)=$S$5)*(MONTH($O$6:$O$20000)=4))</f>
        <v>1</v>
      </c>
    </row>
    <row r="11" customHeight="1" spans="2:20">
      <c r="B11" s="12">
        <v>6</v>
      </c>
      <c r="C11" s="13">
        <v>44698</v>
      </c>
      <c r="D11" s="12" t="s">
        <v>61</v>
      </c>
      <c r="E11" s="12" t="s">
        <v>50</v>
      </c>
      <c r="F11" s="12">
        <v>41</v>
      </c>
      <c r="G11" s="12" t="s">
        <v>20</v>
      </c>
      <c r="H11" s="12" t="s">
        <v>62</v>
      </c>
      <c r="I11" s="12" t="s">
        <v>14</v>
      </c>
      <c r="J11" s="20" t="s">
        <v>52</v>
      </c>
      <c r="K11" s="20" t="s">
        <v>53</v>
      </c>
      <c r="L11" s="20" t="s">
        <v>53</v>
      </c>
      <c r="M11" s="20" t="s">
        <v>52</v>
      </c>
      <c r="N11" s="20" t="s">
        <v>53</v>
      </c>
      <c r="O11" s="13"/>
      <c r="P11" s="12"/>
      <c r="R11" s="25" t="s">
        <v>63</v>
      </c>
      <c r="S11" s="24">
        <f>SUMPRODUCT((YEAR($C$6:$C$20000)=$S$5)*(MONTH($C$6:$C$20000)=5))</f>
        <v>2</v>
      </c>
      <c r="T11" s="24">
        <f>SUMPRODUCT((YEAR($O$6:$O$20000)=$S$5)*(MONTH($O$6:$O$20000)=5))</f>
        <v>1</v>
      </c>
    </row>
    <row r="12" customHeight="1" spans="2:20">
      <c r="B12" s="12">
        <v>7</v>
      </c>
      <c r="C12" s="13">
        <v>44730</v>
      </c>
      <c r="D12" s="12" t="s">
        <v>64</v>
      </c>
      <c r="E12" s="12" t="s">
        <v>42</v>
      </c>
      <c r="F12" s="12">
        <v>25</v>
      </c>
      <c r="G12" s="12" t="s">
        <v>21</v>
      </c>
      <c r="H12" s="12" t="s">
        <v>65</v>
      </c>
      <c r="I12" s="12" t="s">
        <v>10</v>
      </c>
      <c r="J12" s="21" t="s">
        <v>44</v>
      </c>
      <c r="K12" s="21" t="s">
        <v>44</v>
      </c>
      <c r="L12" s="20" t="s">
        <v>44</v>
      </c>
      <c r="M12" s="20" t="s">
        <v>44</v>
      </c>
      <c r="N12" s="20" t="s">
        <v>44</v>
      </c>
      <c r="O12" s="13">
        <v>44773</v>
      </c>
      <c r="P12" s="12"/>
      <c r="R12" s="25" t="s">
        <v>66</v>
      </c>
      <c r="S12" s="24">
        <f>SUMPRODUCT((YEAR($C$6:$C$20000)=$S$5)*(MONTH($C$6:$C$20000)=6))</f>
        <v>2</v>
      </c>
      <c r="T12" s="24">
        <f>SUMPRODUCT((YEAR($O$6:$O$20000)=$S$5)*(MONTH($O$6:$O$20000)=6))</f>
        <v>1</v>
      </c>
    </row>
    <row r="13" customHeight="1" spans="2:20">
      <c r="B13" s="12">
        <v>8</v>
      </c>
      <c r="C13" s="13">
        <v>44761</v>
      </c>
      <c r="D13" s="12" t="s">
        <v>67</v>
      </c>
      <c r="E13" s="12" t="s">
        <v>42</v>
      </c>
      <c r="F13" s="12">
        <v>32</v>
      </c>
      <c r="G13" s="12" t="s">
        <v>22</v>
      </c>
      <c r="H13" s="12" t="s">
        <v>68</v>
      </c>
      <c r="I13" s="12" t="s">
        <v>10</v>
      </c>
      <c r="J13" s="20" t="s">
        <v>44</v>
      </c>
      <c r="K13" s="20" t="s">
        <v>52</v>
      </c>
      <c r="L13" s="20" t="s">
        <v>53</v>
      </c>
      <c r="M13" s="20" t="s">
        <v>53</v>
      </c>
      <c r="N13" s="20" t="s">
        <v>53</v>
      </c>
      <c r="O13" s="13"/>
      <c r="P13" s="12"/>
      <c r="R13" s="25" t="s">
        <v>69</v>
      </c>
      <c r="S13" s="24">
        <f>SUMPRODUCT((YEAR($C$6:$C$20000)=$S$5)*(MONTH($C$6:$C$20000)=7))</f>
        <v>2</v>
      </c>
      <c r="T13" s="24">
        <f>SUMPRODUCT((YEAR($O$6:$O$20000)=$S$5)*(MONTH($O$6:$O$20000)=7))</f>
        <v>1</v>
      </c>
    </row>
    <row r="14" customHeight="1" spans="2:20">
      <c r="B14" s="12">
        <v>9</v>
      </c>
      <c r="C14" s="13">
        <v>44793</v>
      </c>
      <c r="D14" s="12" t="s">
        <v>70</v>
      </c>
      <c r="E14" s="12" t="s">
        <v>50</v>
      </c>
      <c r="F14" s="12">
        <v>35</v>
      </c>
      <c r="G14" s="12" t="s">
        <v>23</v>
      </c>
      <c r="H14" s="12" t="s">
        <v>71</v>
      </c>
      <c r="I14" s="12" t="s">
        <v>11</v>
      </c>
      <c r="J14" s="21" t="s">
        <v>44</v>
      </c>
      <c r="K14" s="21" t="s">
        <v>44</v>
      </c>
      <c r="L14" s="20" t="s">
        <v>44</v>
      </c>
      <c r="M14" s="20" t="s">
        <v>44</v>
      </c>
      <c r="N14" s="20" t="s">
        <v>44</v>
      </c>
      <c r="O14" s="13">
        <v>44834</v>
      </c>
      <c r="P14" s="12"/>
      <c r="R14" s="25" t="s">
        <v>72</v>
      </c>
      <c r="S14" s="24">
        <f>SUMPRODUCT((YEAR($C$6:$C$20000)=$S$5)*(MONTH($C$6:$C$20000)=8))</f>
        <v>3</v>
      </c>
      <c r="T14" s="24">
        <f>SUMPRODUCT((YEAR($O$6:$O$20000)=$S$5)*(MONTH($O$6:$O$20000)=8))</f>
        <v>1</v>
      </c>
    </row>
    <row r="15" customHeight="1" spans="2:20">
      <c r="B15" s="12">
        <v>10</v>
      </c>
      <c r="C15" s="13">
        <v>44825</v>
      </c>
      <c r="D15" s="12" t="s">
        <v>73</v>
      </c>
      <c r="E15" s="12" t="s">
        <v>42</v>
      </c>
      <c r="F15" s="12">
        <v>39</v>
      </c>
      <c r="G15" s="12" t="s">
        <v>24</v>
      </c>
      <c r="H15" s="12" t="s">
        <v>74</v>
      </c>
      <c r="I15" s="12" t="s">
        <v>12</v>
      </c>
      <c r="J15" s="20" t="s">
        <v>52</v>
      </c>
      <c r="K15" s="20" t="s">
        <v>53</v>
      </c>
      <c r="L15" s="20" t="s">
        <v>53</v>
      </c>
      <c r="M15" s="20" t="s">
        <v>53</v>
      </c>
      <c r="N15" s="20" t="s">
        <v>53</v>
      </c>
      <c r="O15" s="13"/>
      <c r="P15" s="12"/>
      <c r="R15" s="25" t="s">
        <v>75</v>
      </c>
      <c r="S15" s="24">
        <f>SUMPRODUCT((YEAR($C$6:$C$20000)=$S$5)*(MONTH($C$6:$C$20000)=9))</f>
        <v>2</v>
      </c>
      <c r="T15" s="24">
        <f>SUMPRODUCT((YEAR($O$6:$O$20000)=$S$5)*(MONTH($O$6:$O$20000)=9))</f>
        <v>1</v>
      </c>
    </row>
    <row r="16" customHeight="1" spans="2:20">
      <c r="B16" s="12">
        <v>11</v>
      </c>
      <c r="C16" s="13">
        <v>44614</v>
      </c>
      <c r="D16" s="12" t="s">
        <v>76</v>
      </c>
      <c r="E16" s="12" t="s">
        <v>42</v>
      </c>
      <c r="F16" s="12">
        <v>24</v>
      </c>
      <c r="G16" s="12" t="s">
        <v>25</v>
      </c>
      <c r="H16" s="12" t="s">
        <v>77</v>
      </c>
      <c r="I16" s="12" t="s">
        <v>13</v>
      </c>
      <c r="J16" s="21" t="s">
        <v>44</v>
      </c>
      <c r="K16" s="21" t="s">
        <v>44</v>
      </c>
      <c r="L16" s="20" t="s">
        <v>44</v>
      </c>
      <c r="M16" s="20" t="s">
        <v>44</v>
      </c>
      <c r="N16" s="20" t="s">
        <v>44</v>
      </c>
      <c r="O16" s="13">
        <v>44895</v>
      </c>
      <c r="P16" s="12"/>
      <c r="R16" s="25" t="s">
        <v>78</v>
      </c>
      <c r="S16" s="24">
        <f>SUMPRODUCT((YEAR($C$6:$C$20000)=$S$5)*(MONTH($C$6:$C$20000)=10))</f>
        <v>1</v>
      </c>
      <c r="T16" s="24">
        <f>SUMPRODUCT((YEAR($O$6:$O$20000)=$S$5)*(MONTH($O$6:$O$20000)=10))</f>
        <v>2</v>
      </c>
    </row>
    <row r="17" customHeight="1" spans="2:20">
      <c r="B17" s="12">
        <v>12</v>
      </c>
      <c r="C17" s="13">
        <v>44849</v>
      </c>
      <c r="D17" s="12" t="s">
        <v>79</v>
      </c>
      <c r="E17" s="12" t="s">
        <v>50</v>
      </c>
      <c r="F17" s="12">
        <v>28</v>
      </c>
      <c r="G17" s="12" t="s">
        <v>26</v>
      </c>
      <c r="H17" s="12" t="s">
        <v>80</v>
      </c>
      <c r="I17" s="12" t="s">
        <v>14</v>
      </c>
      <c r="J17" s="21" t="s">
        <v>44</v>
      </c>
      <c r="K17" s="21" t="s">
        <v>44</v>
      </c>
      <c r="L17" s="20" t="s">
        <v>44</v>
      </c>
      <c r="M17" s="20" t="s">
        <v>44</v>
      </c>
      <c r="N17" s="20" t="s">
        <v>44</v>
      </c>
      <c r="O17" s="13">
        <v>44926</v>
      </c>
      <c r="P17" s="12"/>
      <c r="R17" s="25" t="s">
        <v>81</v>
      </c>
      <c r="S17" s="24">
        <f>SUMPRODUCT((YEAR($C$6:$C$20000)=$S$5)*(MONTH($C$6:$C$20000)=11))</f>
        <v>1</v>
      </c>
      <c r="T17" s="24">
        <f>SUMPRODUCT((YEAR($O$6:$O$20000)=$S$5)*(MONTH($O$6:$O$20000)=11))</f>
        <v>2</v>
      </c>
    </row>
    <row r="18" customHeight="1" spans="2:20">
      <c r="B18" s="12">
        <v>13</v>
      </c>
      <c r="C18" s="13">
        <v>44881</v>
      </c>
      <c r="D18" s="12" t="s">
        <v>82</v>
      </c>
      <c r="E18" s="12" t="s">
        <v>42</v>
      </c>
      <c r="F18" s="12">
        <v>30</v>
      </c>
      <c r="G18" s="12" t="s">
        <v>15</v>
      </c>
      <c r="H18" s="12" t="s">
        <v>83</v>
      </c>
      <c r="I18" s="12" t="s">
        <v>12</v>
      </c>
      <c r="J18" s="20" t="s">
        <v>52</v>
      </c>
      <c r="K18" s="20" t="s">
        <v>53</v>
      </c>
      <c r="L18" s="20" t="s">
        <v>53</v>
      </c>
      <c r="M18" s="20" t="s">
        <v>53</v>
      </c>
      <c r="N18" s="20" t="s">
        <v>53</v>
      </c>
      <c r="O18" s="13"/>
      <c r="P18" s="12"/>
      <c r="R18" s="25" t="s">
        <v>84</v>
      </c>
      <c r="S18" s="24">
        <f>SUMPRODUCT((YEAR($C$6:$C$20000)=$S$5)*(MONTH($C$6:$C$20000)=12))</f>
        <v>1</v>
      </c>
      <c r="T18" s="24">
        <f>SUMPRODUCT((YEAR($O$6:$O$20000)=$S$5)*(MONTH($O$6:$O$20000)=12))</f>
        <v>1</v>
      </c>
    </row>
    <row r="19" customHeight="1" spans="2:20">
      <c r="B19" s="12">
        <v>14</v>
      </c>
      <c r="C19" s="13">
        <v>44912</v>
      </c>
      <c r="D19" s="12" t="s">
        <v>85</v>
      </c>
      <c r="E19" s="12" t="s">
        <v>42</v>
      </c>
      <c r="F19" s="12">
        <v>29</v>
      </c>
      <c r="G19" s="12" t="s">
        <v>16</v>
      </c>
      <c r="H19" s="12" t="s">
        <v>86</v>
      </c>
      <c r="I19" s="12" t="s">
        <v>14</v>
      </c>
      <c r="J19" s="21" t="s">
        <v>44</v>
      </c>
      <c r="K19" s="21" t="s">
        <v>44</v>
      </c>
      <c r="L19" s="20" t="s">
        <v>44</v>
      </c>
      <c r="M19" s="20" t="s">
        <v>44</v>
      </c>
      <c r="N19" s="20" t="s">
        <v>44</v>
      </c>
      <c r="O19" s="13">
        <v>44895</v>
      </c>
      <c r="P19" s="12"/>
      <c r="R19" s="25" t="s">
        <v>87</v>
      </c>
      <c r="S19" s="24">
        <f>SUM(S7:S18)</f>
        <v>24</v>
      </c>
      <c r="T19" s="24">
        <f>SUM(T7:T18)</f>
        <v>14</v>
      </c>
    </row>
    <row r="20" customHeight="1" spans="2:16">
      <c r="B20" s="12">
        <v>15</v>
      </c>
      <c r="C20" s="13">
        <v>44575</v>
      </c>
      <c r="D20" s="12" t="s">
        <v>88</v>
      </c>
      <c r="E20" s="12" t="s">
        <v>42</v>
      </c>
      <c r="F20" s="12">
        <v>25</v>
      </c>
      <c r="G20" s="12" t="s">
        <v>17</v>
      </c>
      <c r="H20" s="12" t="s">
        <v>80</v>
      </c>
      <c r="I20" s="12" t="s">
        <v>14</v>
      </c>
      <c r="J20" s="20" t="s">
        <v>52</v>
      </c>
      <c r="K20" s="20" t="s">
        <v>53</v>
      </c>
      <c r="L20" s="20" t="s">
        <v>53</v>
      </c>
      <c r="M20" s="20" t="s">
        <v>53</v>
      </c>
      <c r="N20" s="20" t="s">
        <v>53</v>
      </c>
      <c r="O20" s="13"/>
      <c r="P20" s="12"/>
    </row>
    <row r="21" customHeight="1" spans="2:19">
      <c r="B21" s="12">
        <v>16</v>
      </c>
      <c r="C21" s="13">
        <v>44635</v>
      </c>
      <c r="D21" s="12" t="s">
        <v>89</v>
      </c>
      <c r="E21" s="12" t="s">
        <v>42</v>
      </c>
      <c r="F21" s="12">
        <v>32</v>
      </c>
      <c r="G21" s="12" t="s">
        <v>18</v>
      </c>
      <c r="H21" s="12" t="s">
        <v>83</v>
      </c>
      <c r="I21" s="12" t="s">
        <v>10</v>
      </c>
      <c r="J21" s="21" t="s">
        <v>44</v>
      </c>
      <c r="K21" s="21" t="s">
        <v>44</v>
      </c>
      <c r="L21" s="20" t="s">
        <v>44</v>
      </c>
      <c r="M21" s="20" t="s">
        <v>44</v>
      </c>
      <c r="N21" s="20" t="s">
        <v>44</v>
      </c>
      <c r="O21" s="13">
        <v>44742</v>
      </c>
      <c r="P21" s="12"/>
      <c r="R21" s="4" t="s">
        <v>90</v>
      </c>
      <c r="S21" s="4">
        <f>S19</f>
        <v>24</v>
      </c>
    </row>
    <row r="22" customHeight="1" spans="2:19">
      <c r="B22" s="12">
        <v>17</v>
      </c>
      <c r="C22" s="13">
        <v>44667</v>
      </c>
      <c r="D22" s="12" t="s">
        <v>91</v>
      </c>
      <c r="E22" s="12" t="s">
        <v>50</v>
      </c>
      <c r="F22" s="12">
        <v>35</v>
      </c>
      <c r="G22" s="12" t="s">
        <v>19</v>
      </c>
      <c r="H22" s="12" t="s">
        <v>86</v>
      </c>
      <c r="I22" s="12" t="s">
        <v>10</v>
      </c>
      <c r="J22" s="21" t="s">
        <v>44</v>
      </c>
      <c r="K22" s="21" t="s">
        <v>44</v>
      </c>
      <c r="L22" s="20" t="s">
        <v>44</v>
      </c>
      <c r="M22" s="20" t="s">
        <v>44</v>
      </c>
      <c r="N22" s="20" t="s">
        <v>44</v>
      </c>
      <c r="O22" s="13">
        <v>44865</v>
      </c>
      <c r="P22" s="12"/>
      <c r="R22" s="4" t="s">
        <v>92</v>
      </c>
      <c r="S22" s="4">
        <f>T19</f>
        <v>14</v>
      </c>
    </row>
    <row r="23" customHeight="1" spans="2:19">
      <c r="B23" s="12">
        <v>18</v>
      </c>
      <c r="C23" s="13">
        <v>44698</v>
      </c>
      <c r="D23" s="12" t="s">
        <v>93</v>
      </c>
      <c r="E23" s="12" t="s">
        <v>42</v>
      </c>
      <c r="F23" s="12">
        <v>39</v>
      </c>
      <c r="G23" s="12" t="s">
        <v>20</v>
      </c>
      <c r="H23" s="12" t="s">
        <v>94</v>
      </c>
      <c r="I23" s="12" t="s">
        <v>11</v>
      </c>
      <c r="J23" s="20" t="s">
        <v>52</v>
      </c>
      <c r="K23" s="20" t="s">
        <v>53</v>
      </c>
      <c r="L23" s="20" t="s">
        <v>53</v>
      </c>
      <c r="M23" s="20" t="s">
        <v>53</v>
      </c>
      <c r="N23" s="20" t="s">
        <v>53</v>
      </c>
      <c r="O23" s="12"/>
      <c r="P23" s="12"/>
      <c r="R23" s="4" t="s">
        <v>95</v>
      </c>
      <c r="S23" s="4">
        <f ca="1">COUNTIF(C6:C20000,TODAY())</f>
        <v>0</v>
      </c>
    </row>
    <row r="24" customHeight="1" spans="2:19">
      <c r="B24" s="12">
        <v>19</v>
      </c>
      <c r="C24" s="13">
        <v>44730</v>
      </c>
      <c r="D24" s="12" t="s">
        <v>96</v>
      </c>
      <c r="E24" s="12" t="s">
        <v>42</v>
      </c>
      <c r="F24" s="12">
        <v>24</v>
      </c>
      <c r="G24" s="12" t="s">
        <v>21</v>
      </c>
      <c r="H24" s="12" t="s">
        <v>97</v>
      </c>
      <c r="I24" s="12" t="s">
        <v>12</v>
      </c>
      <c r="J24" s="21" t="s">
        <v>44</v>
      </c>
      <c r="K24" s="21" t="s">
        <v>44</v>
      </c>
      <c r="L24" s="20" t="s">
        <v>44</v>
      </c>
      <c r="M24" s="20" t="s">
        <v>44</v>
      </c>
      <c r="N24" s="20" t="s">
        <v>44</v>
      </c>
      <c r="O24" s="13">
        <v>44804</v>
      </c>
      <c r="P24" s="12"/>
      <c r="R24" s="4" t="s">
        <v>98</v>
      </c>
      <c r="S24" s="4">
        <f ca="1">SUMPRODUCT((YEAR($O$6:$O$20000)=$S$5)*(MONTH($O$6:$O$20000)=T5))</f>
        <v>1</v>
      </c>
    </row>
    <row r="25" customHeight="1" spans="2:16">
      <c r="B25" s="12">
        <v>20</v>
      </c>
      <c r="C25" s="13">
        <v>44761</v>
      </c>
      <c r="D25" s="12" t="s">
        <v>99</v>
      </c>
      <c r="E25" s="12" t="s">
        <v>50</v>
      </c>
      <c r="F25" s="12">
        <v>28</v>
      </c>
      <c r="G25" s="12" t="s">
        <v>22</v>
      </c>
      <c r="H25" s="12" t="s">
        <v>100</v>
      </c>
      <c r="I25" s="12" t="s">
        <v>13</v>
      </c>
      <c r="J25" s="20" t="s">
        <v>52</v>
      </c>
      <c r="K25" s="20" t="s">
        <v>53</v>
      </c>
      <c r="L25" s="20" t="s">
        <v>53</v>
      </c>
      <c r="M25" s="20" t="s">
        <v>53</v>
      </c>
      <c r="N25" s="20" t="s">
        <v>53</v>
      </c>
      <c r="O25" s="12"/>
      <c r="P25" s="12"/>
    </row>
    <row r="26" customHeight="1" spans="2:16">
      <c r="B26" s="12">
        <v>21</v>
      </c>
      <c r="C26" s="13">
        <v>44793</v>
      </c>
      <c r="D26" s="12" t="s">
        <v>101</v>
      </c>
      <c r="E26" s="12" t="s">
        <v>42</v>
      </c>
      <c r="F26" s="12">
        <v>30</v>
      </c>
      <c r="G26" s="12" t="s">
        <v>23</v>
      </c>
      <c r="H26" s="12" t="s">
        <v>102</v>
      </c>
      <c r="I26" s="12" t="s">
        <v>14</v>
      </c>
      <c r="J26" s="20" t="s">
        <v>52</v>
      </c>
      <c r="K26" s="20" t="s">
        <v>53</v>
      </c>
      <c r="L26" s="20" t="s">
        <v>53</v>
      </c>
      <c r="M26" s="20" t="s">
        <v>53</v>
      </c>
      <c r="N26" s="20" t="s">
        <v>53</v>
      </c>
      <c r="O26" s="12"/>
      <c r="P26" s="12"/>
    </row>
    <row r="27" customHeight="1" spans="2:16">
      <c r="B27" s="12">
        <v>22</v>
      </c>
      <c r="C27" s="13">
        <v>44825</v>
      </c>
      <c r="D27" s="12" t="s">
        <v>103</v>
      </c>
      <c r="E27" s="12" t="s">
        <v>42</v>
      </c>
      <c r="F27" s="12">
        <v>29</v>
      </c>
      <c r="G27" s="12" t="s">
        <v>24</v>
      </c>
      <c r="H27" s="12" t="s">
        <v>104</v>
      </c>
      <c r="I27" s="12" t="s">
        <v>12</v>
      </c>
      <c r="J27" s="21" t="s">
        <v>44</v>
      </c>
      <c r="K27" s="21" t="s">
        <v>44</v>
      </c>
      <c r="L27" s="20" t="s">
        <v>44</v>
      </c>
      <c r="M27" s="20" t="s">
        <v>44</v>
      </c>
      <c r="N27" s="20" t="s">
        <v>44</v>
      </c>
      <c r="O27" s="13">
        <v>44651</v>
      </c>
      <c r="P27" s="12"/>
    </row>
    <row r="28" customHeight="1" spans="2:16">
      <c r="B28" s="12">
        <v>23</v>
      </c>
      <c r="C28" s="13">
        <v>44614</v>
      </c>
      <c r="D28" s="12" t="s">
        <v>105</v>
      </c>
      <c r="E28" s="12" t="s">
        <v>42</v>
      </c>
      <c r="F28" s="12">
        <v>31</v>
      </c>
      <c r="G28" s="12" t="s">
        <v>25</v>
      </c>
      <c r="H28" s="12" t="s">
        <v>106</v>
      </c>
      <c r="I28" s="12" t="s">
        <v>12</v>
      </c>
      <c r="J28" s="20" t="s">
        <v>52</v>
      </c>
      <c r="K28" s="20" t="s">
        <v>53</v>
      </c>
      <c r="L28" s="20" t="s">
        <v>53</v>
      </c>
      <c r="M28" s="20" t="s">
        <v>53</v>
      </c>
      <c r="N28" s="20" t="s">
        <v>53</v>
      </c>
      <c r="O28" s="12"/>
      <c r="P28" s="12"/>
    </row>
    <row r="29" customHeight="1" spans="2:16">
      <c r="B29" s="12">
        <v>24</v>
      </c>
      <c r="C29" s="13">
        <v>44793</v>
      </c>
      <c r="D29" s="12" t="s">
        <v>107</v>
      </c>
      <c r="E29" s="12" t="s">
        <v>42</v>
      </c>
      <c r="F29" s="12">
        <v>40</v>
      </c>
      <c r="G29" s="12" t="s">
        <v>26</v>
      </c>
      <c r="H29" s="12" t="s">
        <v>102</v>
      </c>
      <c r="I29" s="12" t="s">
        <v>14</v>
      </c>
      <c r="J29" s="21" t="s">
        <v>44</v>
      </c>
      <c r="K29" s="21" t="s">
        <v>44</v>
      </c>
      <c r="L29" s="20" t="s">
        <v>44</v>
      </c>
      <c r="M29" s="20" t="s">
        <v>44</v>
      </c>
      <c r="N29" s="20" t="s">
        <v>44</v>
      </c>
      <c r="O29" s="13">
        <v>44865</v>
      </c>
      <c r="P29" s="12"/>
    </row>
    <row r="30" customHeight="1" spans="5:6">
      <c r="E30" s="14"/>
      <c r="F30" s="14"/>
    </row>
  </sheetData>
  <mergeCells count="14">
    <mergeCell ref="B2:P2"/>
    <mergeCell ref="J4:L4"/>
    <mergeCell ref="B4:B5"/>
    <mergeCell ref="C4:C5"/>
    <mergeCell ref="D4:D5"/>
    <mergeCell ref="E4:E5"/>
    <mergeCell ref="F4:F5"/>
    <mergeCell ref="G4:G5"/>
    <mergeCell ref="H4:H5"/>
    <mergeCell ref="I4:I5"/>
    <mergeCell ref="M4:M5"/>
    <mergeCell ref="N4:N5"/>
    <mergeCell ref="O4:O5"/>
    <mergeCell ref="P4:P5"/>
  </mergeCells>
  <conditionalFormatting sqref="J12:L12">
    <cfRule type="cellIs" dxfId="0" priority="3" operator="equal">
      <formula>"☑"</formula>
    </cfRule>
  </conditionalFormatting>
  <conditionalFormatting sqref="M12:N12">
    <cfRule type="cellIs" dxfId="0" priority="2" operator="equal">
      <formula>"☑"</formula>
    </cfRule>
  </conditionalFormatting>
  <conditionalFormatting sqref="J14:L14">
    <cfRule type="cellIs" dxfId="0" priority="21" operator="equal">
      <formula>"☑"</formula>
    </cfRule>
  </conditionalFormatting>
  <conditionalFormatting sqref="M14:N14">
    <cfRule type="cellIs" dxfId="0" priority="20" operator="equal">
      <formula>"☑"</formula>
    </cfRule>
  </conditionalFormatting>
  <conditionalFormatting sqref="J16:L16">
    <cfRule type="cellIs" dxfId="0" priority="19" operator="equal">
      <formula>"☑"</formula>
    </cfRule>
  </conditionalFormatting>
  <conditionalFormatting sqref="M16:N16">
    <cfRule type="cellIs" dxfId="0" priority="18" operator="equal">
      <formula>"☑"</formula>
    </cfRule>
  </conditionalFormatting>
  <conditionalFormatting sqref="J17:L17">
    <cfRule type="cellIs" dxfId="0" priority="17" operator="equal">
      <formula>"☑"</formula>
    </cfRule>
  </conditionalFormatting>
  <conditionalFormatting sqref="M17:N17">
    <cfRule type="cellIs" dxfId="0" priority="16" operator="equal">
      <formula>"☑"</formula>
    </cfRule>
  </conditionalFormatting>
  <conditionalFormatting sqref="J19:L19">
    <cfRule type="cellIs" dxfId="0" priority="15" operator="equal">
      <formula>"☑"</formula>
    </cfRule>
  </conditionalFormatting>
  <conditionalFormatting sqref="M19:N19">
    <cfRule type="cellIs" dxfId="0" priority="14" operator="equal">
      <formula>"☑"</formula>
    </cfRule>
  </conditionalFormatting>
  <conditionalFormatting sqref="J21:L21">
    <cfRule type="cellIs" dxfId="0" priority="13" operator="equal">
      <formula>"☑"</formula>
    </cfRule>
  </conditionalFormatting>
  <conditionalFormatting sqref="M21:N21">
    <cfRule type="cellIs" dxfId="0" priority="12" operator="equal">
      <formula>"☑"</formula>
    </cfRule>
  </conditionalFormatting>
  <conditionalFormatting sqref="J22:L22">
    <cfRule type="cellIs" dxfId="0" priority="11" operator="equal">
      <formula>"☑"</formula>
    </cfRule>
  </conditionalFormatting>
  <conditionalFormatting sqref="M22:N22">
    <cfRule type="cellIs" dxfId="0" priority="10" operator="equal">
      <formula>"☑"</formula>
    </cfRule>
  </conditionalFormatting>
  <conditionalFormatting sqref="J24:L24">
    <cfRule type="cellIs" dxfId="0" priority="9" operator="equal">
      <formula>"☑"</formula>
    </cfRule>
  </conditionalFormatting>
  <conditionalFormatting sqref="M24:N24">
    <cfRule type="cellIs" dxfId="0" priority="8" operator="equal">
      <formula>"☑"</formula>
    </cfRule>
  </conditionalFormatting>
  <conditionalFormatting sqref="J27:L27">
    <cfRule type="cellIs" dxfId="0" priority="7" operator="equal">
      <formula>"☑"</formula>
    </cfRule>
  </conditionalFormatting>
  <conditionalFormatting sqref="M27:N27">
    <cfRule type="cellIs" dxfId="0" priority="6" operator="equal">
      <formula>"☑"</formula>
    </cfRule>
  </conditionalFormatting>
  <conditionalFormatting sqref="J29:L29">
    <cfRule type="cellIs" dxfId="0" priority="5" operator="equal">
      <formula>"☑"</formula>
    </cfRule>
  </conditionalFormatting>
  <conditionalFormatting sqref="M29:N29">
    <cfRule type="cellIs" dxfId="0" priority="4" operator="equal">
      <formula>"☑"</formula>
    </cfRule>
  </conditionalFormatting>
  <conditionalFormatting sqref="J1:L8 J11:L11 J13:L13 J15:L15 J18:L18 J20:L20 J23:L23 J25:L26 J28:L28 J30:L1048576">
    <cfRule type="cellIs" dxfId="0" priority="26" operator="equal">
      <formula>"☑"</formula>
    </cfRule>
  </conditionalFormatting>
  <conditionalFormatting sqref="J$1:N$1048576">
    <cfRule type="cellIs" dxfId="1" priority="24" operator="equal">
      <formula>"☒"</formula>
    </cfRule>
  </conditionalFormatting>
  <conditionalFormatting sqref="M1:N8 M11:N11 M13:N13 M15:N15 M18:N18 M20:N20 M23:N23 M25:N26 M28:N28 M30:N1048576">
    <cfRule type="cellIs" dxfId="0" priority="25" operator="equal">
      <formula>"☑"</formula>
    </cfRule>
  </conditionalFormatting>
  <conditionalFormatting sqref="B6:P20000">
    <cfRule type="expression" dxfId="2" priority="1">
      <formula>$N6="☑"</formula>
    </cfRule>
  </conditionalFormatting>
  <conditionalFormatting sqref="J9:L10">
    <cfRule type="cellIs" dxfId="0" priority="23" operator="equal">
      <formula>"☑"</formula>
    </cfRule>
  </conditionalFormatting>
  <conditionalFormatting sqref="M9:N10">
    <cfRule type="cellIs" dxfId="0" priority="22" operator="equal">
      <formula>"☑"</formula>
    </cfRule>
  </conditionalFormatting>
  <dataValidations count="3">
    <dataValidation type="list" allowBlank="1" showInputMessage="1" showErrorMessage="1" sqref="J11:L11 M11:N11 J12:L12 M12:N12 J13:L13 M13:N13 J14:L14 M14:N14 J15:L15 M15:N15 J16:L16 M16:N16 J17:L17 M17:N17 J18:L18 M18:N18 J19:L19 M19:N19 J20:L20 M20:N20 J21:L21 M21:N21 J22:L22 M22:N22 J23 K23 L23 M23 N23 J24:L24 M24:N24 J27:L27 M27:N27 J28 K28 L28 M28 N28 J29:L29 M29:N29 J25:J26 K25:K26 L25:L26 M25:M26 N25:N26 J6:L8 J9:L10 J30:L1048576 M6:N8 M30:N1048576 M9:N10">
      <formula1>"□,☑,☒"</formula1>
    </dataValidation>
    <dataValidation type="list" allowBlank="1" showInputMessage="1" showErrorMessage="1" sqref="G6:G17 G18:G19 G20:G27 G28:G29 G30:G1048576">
      <formula1>Sheet1!$C$14:$C$30</formula1>
    </dataValidation>
    <dataValidation type="list" allowBlank="1" showInputMessage="1" showErrorMessage="1" sqref="I6:I19 I20:I27 I28:I29 I30:I1048576">
      <formula1>Sheet1!$G$12:$K$12</formula1>
    </dataValidation>
  </dataValidation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42"/>
  <sheetViews>
    <sheetView showGridLines="0" tabSelected="1" topLeftCell="A4" workbookViewId="0">
      <selection activeCell="V33" sqref="V33"/>
    </sheetView>
  </sheetViews>
  <sheetFormatPr defaultColWidth="7.9" defaultRowHeight="13.5"/>
  <cols>
    <col min="1" max="16384" width="7.9" style="1"/>
  </cols>
  <sheetData>
    <row r="1" s="1" customFormat="1" spans="1:9">
      <c r="A1" s="2"/>
      <c r="B1" s="2"/>
      <c r="C1" s="2"/>
      <c r="D1" s="2"/>
      <c r="E1" s="2"/>
      <c r="F1" s="2"/>
      <c r="G1" s="2"/>
      <c r="H1" s="2"/>
      <c r="I1" s="2"/>
    </row>
    <row r="2" s="1" customFormat="1" spans="1:9">
      <c r="A2" s="2"/>
      <c r="B2" s="2"/>
      <c r="C2" s="2"/>
      <c r="D2" s="2"/>
      <c r="E2" s="2"/>
      <c r="F2" s="2"/>
      <c r="G2" s="2"/>
      <c r="H2" s="2"/>
      <c r="I2" s="2"/>
    </row>
    <row r="3" s="1" customFormat="1" spans="1:21">
      <c r="A3" s="2"/>
      <c r="B3" s="2"/>
      <c r="C3" s="2"/>
      <c r="D3" s="2"/>
      <c r="E3" s="2"/>
      <c r="F3" s="2"/>
      <c r="G3" s="2"/>
      <c r="H3" s="2"/>
      <c r="I3" s="2"/>
      <c r="M3" s="2"/>
      <c r="N3" s="2"/>
      <c r="O3" s="2"/>
      <c r="P3" s="2"/>
      <c r="Q3" s="2"/>
      <c r="R3" s="2"/>
      <c r="S3" s="2"/>
      <c r="T3" s="2"/>
      <c r="U3" s="2"/>
    </row>
    <row r="4" s="1" customFormat="1" spans="1:21">
      <c r="A4" s="2"/>
      <c r="B4" s="2"/>
      <c r="C4" s="2"/>
      <c r="D4" s="2"/>
      <c r="E4" s="2"/>
      <c r="F4" s="2"/>
      <c r="G4" s="2"/>
      <c r="H4" s="2"/>
      <c r="I4" s="2"/>
      <c r="M4" s="2"/>
      <c r="N4" s="2"/>
      <c r="O4" s="2"/>
      <c r="P4" s="2"/>
      <c r="Q4" s="2"/>
      <c r="R4" s="2"/>
      <c r="S4" s="2"/>
      <c r="T4" s="2"/>
      <c r="U4" s="2"/>
    </row>
    <row r="5" s="1" customFormat="1" spans="1:21">
      <c r="A5" s="2"/>
      <c r="B5" s="2"/>
      <c r="C5" s="2"/>
      <c r="D5" s="2"/>
      <c r="E5" s="2"/>
      <c r="F5" s="2"/>
      <c r="G5" s="2"/>
      <c r="H5" s="2"/>
      <c r="I5" s="2"/>
      <c r="M5" s="2"/>
      <c r="N5" s="2"/>
      <c r="O5" s="2"/>
      <c r="P5" s="2"/>
      <c r="Q5" s="2"/>
      <c r="R5" s="2"/>
      <c r="S5" s="2"/>
      <c r="T5" s="2"/>
      <c r="U5" s="2"/>
    </row>
    <row r="6" s="1" customFormat="1" spans="1:21">
      <c r="A6" s="2"/>
      <c r="B6" s="2"/>
      <c r="C6" s="2"/>
      <c r="D6" s="2"/>
      <c r="E6" s="2"/>
      <c r="F6" s="2"/>
      <c r="G6" s="2"/>
      <c r="H6" s="2"/>
      <c r="I6" s="2"/>
      <c r="M6" s="2"/>
      <c r="N6" s="2"/>
      <c r="O6" s="2"/>
      <c r="P6" s="2"/>
      <c r="Q6" s="2"/>
      <c r="R6" s="2"/>
      <c r="S6" s="2"/>
      <c r="T6" s="2"/>
      <c r="U6" s="2"/>
    </row>
    <row r="7" s="1" customFormat="1" spans="1:21">
      <c r="A7" s="2"/>
      <c r="B7" s="2"/>
      <c r="C7" s="2"/>
      <c r="D7" s="2"/>
      <c r="E7" s="2"/>
      <c r="F7" s="2"/>
      <c r="G7" s="2"/>
      <c r="H7" s="2"/>
      <c r="I7" s="2"/>
      <c r="M7" s="2"/>
      <c r="N7" s="2"/>
      <c r="O7" s="2"/>
      <c r="P7" s="2"/>
      <c r="Q7" s="2"/>
      <c r="R7" s="2"/>
      <c r="S7" s="2"/>
      <c r="T7" s="2"/>
      <c r="U7" s="2"/>
    </row>
    <row r="8" s="1" customFormat="1" spans="1:21">
      <c r="A8" s="2"/>
      <c r="B8" s="2"/>
      <c r="C8" s="2"/>
      <c r="D8" s="2"/>
      <c r="E8" s="2"/>
      <c r="F8" s="2"/>
      <c r="G8" s="2"/>
      <c r="H8" s="2"/>
      <c r="I8" s="2"/>
      <c r="M8" s="2"/>
      <c r="N8" s="2"/>
      <c r="O8" s="2"/>
      <c r="P8" s="2"/>
      <c r="Q8" s="2"/>
      <c r="R8" s="2"/>
      <c r="S8" s="2"/>
      <c r="T8" s="2"/>
      <c r="U8" s="2"/>
    </row>
    <row r="9" s="1" customFormat="1" spans="1:21">
      <c r="A9" s="2"/>
      <c r="B9" s="2"/>
      <c r="C9" s="2"/>
      <c r="D9" s="2"/>
      <c r="E9" s="2"/>
      <c r="F9" s="2"/>
      <c r="G9" s="2"/>
      <c r="H9" s="2"/>
      <c r="I9" s="2"/>
      <c r="M9" s="2"/>
      <c r="N9" s="2"/>
      <c r="O9" s="2"/>
      <c r="P9" s="2"/>
      <c r="Q9" s="2"/>
      <c r="R9" s="2"/>
      <c r="S9" s="2"/>
      <c r="T9" s="2"/>
      <c r="U9" s="2"/>
    </row>
    <row r="10" s="1" customFormat="1" spans="1:21">
      <c r="A10" s="2"/>
      <c r="B10" s="2"/>
      <c r="C10" s="2"/>
      <c r="D10" s="2"/>
      <c r="E10" s="2"/>
      <c r="F10" s="2"/>
      <c r="G10" s="2"/>
      <c r="H10" s="2"/>
      <c r="I10" s="2"/>
      <c r="M10" s="2"/>
      <c r="N10" s="2"/>
      <c r="O10" s="2"/>
      <c r="P10" s="2"/>
      <c r="Q10" s="2"/>
      <c r="R10" s="2"/>
      <c r="S10" s="2"/>
      <c r="T10" s="2"/>
      <c r="U10" s="2"/>
    </row>
    <row r="11" s="1" customFormat="1" spans="1:21">
      <c r="A11" s="2"/>
      <c r="B11" s="2"/>
      <c r="C11" s="2"/>
      <c r="D11" s="2"/>
      <c r="E11" s="2"/>
      <c r="F11" s="2"/>
      <c r="G11" s="2"/>
      <c r="H11" s="2"/>
      <c r="I11" s="2"/>
      <c r="M11" s="2"/>
      <c r="N11" s="2"/>
      <c r="O11" s="2"/>
      <c r="P11" s="2"/>
      <c r="Q11" s="2"/>
      <c r="R11" s="2"/>
      <c r="S11" s="2"/>
      <c r="T11" s="2"/>
      <c r="U11" s="2"/>
    </row>
    <row r="12" s="1" customFormat="1" spans="1:21">
      <c r="A12" s="2"/>
      <c r="B12" s="2"/>
      <c r="C12" s="2"/>
      <c r="D12" s="2"/>
      <c r="E12" s="2"/>
      <c r="F12" s="2"/>
      <c r="G12" s="2"/>
      <c r="H12" s="2"/>
      <c r="I12" s="2"/>
      <c r="M12" s="2"/>
      <c r="N12" s="2"/>
      <c r="O12" s="2"/>
      <c r="P12" s="2"/>
      <c r="Q12" s="2"/>
      <c r="R12" s="2"/>
      <c r="S12" s="2"/>
      <c r="T12" s="2"/>
      <c r="U12" s="2"/>
    </row>
    <row r="13" s="1" customFormat="1" spans="1:21">
      <c r="A13" s="2"/>
      <c r="B13" s="2"/>
      <c r="C13" s="2"/>
      <c r="D13" s="2"/>
      <c r="E13" s="2"/>
      <c r="F13" s="2"/>
      <c r="G13" s="2"/>
      <c r="H13" s="2"/>
      <c r="I13" s="2"/>
      <c r="M13" s="2"/>
      <c r="N13" s="2"/>
      <c r="O13" s="2"/>
      <c r="P13" s="2"/>
      <c r="Q13" s="2"/>
      <c r="R13" s="2"/>
      <c r="S13" s="2"/>
      <c r="T13" s="2"/>
      <c r="U13" s="2"/>
    </row>
    <row r="14" s="1" customFormat="1" spans="1:21">
      <c r="A14" s="2"/>
      <c r="B14" s="2"/>
      <c r="C14" s="2"/>
      <c r="D14" s="2"/>
      <c r="E14" s="2"/>
      <c r="F14" s="2"/>
      <c r="G14" s="2"/>
      <c r="H14" s="2"/>
      <c r="I14" s="2"/>
      <c r="M14" s="2"/>
      <c r="N14" s="2"/>
      <c r="O14" s="2"/>
      <c r="P14" s="2"/>
      <c r="Q14" s="2"/>
      <c r="R14" s="2"/>
      <c r="S14" s="2"/>
      <c r="T14" s="2"/>
      <c r="U14" s="2"/>
    </row>
    <row r="15" s="1" customFormat="1" spans="1:40">
      <c r="A15" s="2"/>
      <c r="B15" s="2"/>
      <c r="C15" s="2"/>
      <c r="D15" s="2"/>
      <c r="E15" s="2"/>
      <c r="F15" s="2"/>
      <c r="G15" s="2"/>
      <c r="H15" s="2"/>
      <c r="I15" s="2"/>
      <c r="M15" s="2"/>
      <c r="N15" s="2"/>
      <c r="O15" s="2"/>
      <c r="P15" s="2"/>
      <c r="Q15" s="2"/>
      <c r="R15" s="2"/>
      <c r="S15" s="2"/>
      <c r="T15" s="2"/>
      <c r="U15" s="2"/>
      <c r="AF15" s="2"/>
      <c r="AG15" s="2"/>
      <c r="AH15" s="2"/>
      <c r="AI15" s="2"/>
      <c r="AJ15" s="2"/>
      <c r="AK15" s="2"/>
      <c r="AL15" s="2"/>
      <c r="AM15" s="2"/>
      <c r="AN15" s="2"/>
    </row>
    <row r="16" s="1" customFormat="1" spans="1:40">
      <c r="A16" s="2"/>
      <c r="B16" s="2"/>
      <c r="C16" s="2"/>
      <c r="D16" s="2"/>
      <c r="E16" s="2"/>
      <c r="F16" s="2"/>
      <c r="G16" s="2"/>
      <c r="H16" s="2"/>
      <c r="I16" s="2"/>
      <c r="M16" s="2"/>
      <c r="N16" s="2"/>
      <c r="O16" s="2"/>
      <c r="P16" s="2"/>
      <c r="Q16" s="2"/>
      <c r="R16" s="2"/>
      <c r="S16" s="2"/>
      <c r="T16" s="2"/>
      <c r="U16" s="2"/>
      <c r="AF16" s="2"/>
      <c r="AG16" s="2"/>
      <c r="AH16" s="2"/>
      <c r="AI16" s="2"/>
      <c r="AJ16" s="2"/>
      <c r="AK16" s="2"/>
      <c r="AL16" s="2"/>
      <c r="AM16" s="2"/>
      <c r="AN16" s="2"/>
    </row>
    <row r="17" s="1" customFormat="1" spans="1:40">
      <c r="A17" s="2"/>
      <c r="B17" s="2"/>
      <c r="C17" s="2"/>
      <c r="D17" s="2"/>
      <c r="E17" s="2"/>
      <c r="F17" s="2"/>
      <c r="G17" s="2"/>
      <c r="H17" s="2"/>
      <c r="I17" s="2"/>
      <c r="M17" s="2"/>
      <c r="N17" s="2"/>
      <c r="O17" s="2"/>
      <c r="P17" s="2"/>
      <c r="Q17" s="2"/>
      <c r="R17" s="2"/>
      <c r="S17" s="2"/>
      <c r="T17" s="2"/>
      <c r="U17" s="2"/>
      <c r="AF17" s="2"/>
      <c r="AG17" s="2"/>
      <c r="AH17" s="2"/>
      <c r="AI17" s="2"/>
      <c r="AJ17" s="2"/>
      <c r="AK17" s="2"/>
      <c r="AL17" s="2"/>
      <c r="AM17" s="2"/>
      <c r="AN17" s="2"/>
    </row>
    <row r="18" s="1" customFormat="1" spans="1:40">
      <c r="A18" s="2"/>
      <c r="B18" s="2"/>
      <c r="C18" s="2"/>
      <c r="D18" s="2"/>
      <c r="E18" s="2"/>
      <c r="F18" s="2"/>
      <c r="G18" s="2"/>
      <c r="H18" s="2"/>
      <c r="I18" s="2"/>
      <c r="M18" s="2"/>
      <c r="N18" s="2"/>
      <c r="O18" s="2"/>
      <c r="P18" s="2"/>
      <c r="Q18" s="2"/>
      <c r="R18" s="2"/>
      <c r="S18" s="2"/>
      <c r="T18" s="2"/>
      <c r="U18" s="2"/>
      <c r="AF18" s="2"/>
      <c r="AG18" s="2"/>
      <c r="AH18" s="2"/>
      <c r="AI18" s="2"/>
      <c r="AJ18" s="2"/>
      <c r="AK18" s="2"/>
      <c r="AL18" s="2"/>
      <c r="AM18" s="2"/>
      <c r="AN18" s="2"/>
    </row>
    <row r="19" s="1" customFormat="1" spans="1:40">
      <c r="A19" s="2"/>
      <c r="B19" s="2"/>
      <c r="C19" s="2"/>
      <c r="D19" s="2"/>
      <c r="E19" s="2"/>
      <c r="F19" s="2"/>
      <c r="G19" s="2"/>
      <c r="H19" s="2"/>
      <c r="I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AF19" s="2"/>
      <c r="AG19" s="2"/>
      <c r="AH19" s="2"/>
      <c r="AI19" s="2"/>
      <c r="AJ19" s="2"/>
      <c r="AK19" s="2"/>
      <c r="AL19" s="2"/>
      <c r="AM19" s="2"/>
      <c r="AN19" s="2"/>
    </row>
    <row r="20" s="1" customFormat="1" spans="1:40">
      <c r="A20" s="2"/>
      <c r="B20" s="2"/>
      <c r="C20" s="2"/>
      <c r="D20" s="2"/>
      <c r="E20" s="2"/>
      <c r="F20" s="2"/>
      <c r="G20" s="2"/>
      <c r="H20" s="2"/>
      <c r="I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AF20" s="2"/>
      <c r="AG20" s="2"/>
      <c r="AH20" s="2"/>
      <c r="AI20" s="2"/>
      <c r="AJ20" s="2"/>
      <c r="AK20" s="2"/>
      <c r="AL20" s="2"/>
      <c r="AM20" s="2"/>
      <c r="AN20" s="2"/>
    </row>
    <row r="21" s="1" customFormat="1" spans="1:40">
      <c r="A21" s="2"/>
      <c r="B21" s="2"/>
      <c r="C21" s="2"/>
      <c r="D21" s="2"/>
      <c r="E21" s="2"/>
      <c r="F21" s="2"/>
      <c r="G21" s="2"/>
      <c r="H21" s="2"/>
      <c r="I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AF21" s="2"/>
      <c r="AG21" s="2"/>
      <c r="AH21" s="2"/>
      <c r="AI21" s="2"/>
      <c r="AJ21" s="2"/>
      <c r="AK21" s="2"/>
      <c r="AL21" s="2"/>
      <c r="AM21" s="2"/>
      <c r="AN21" s="2"/>
    </row>
    <row r="22" s="1" customFormat="1" spans="1:40">
      <c r="A22" s="2"/>
      <c r="B22" s="2"/>
      <c r="C22" s="2"/>
      <c r="D22" s="2"/>
      <c r="E22" s="2"/>
      <c r="F22" s="2"/>
      <c r="G22" s="2"/>
      <c r="H22" s="2"/>
      <c r="I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AF22" s="2"/>
      <c r="AG22" s="2"/>
      <c r="AH22" s="2"/>
      <c r="AI22" s="2"/>
      <c r="AJ22" s="2"/>
      <c r="AK22" s="2"/>
      <c r="AL22" s="2"/>
      <c r="AM22" s="2"/>
      <c r="AN22" s="2"/>
    </row>
    <row r="23" s="1" customFormat="1" spans="1:40">
      <c r="A23" s="2"/>
      <c r="B23" s="2"/>
      <c r="C23" s="2"/>
      <c r="D23" s="2"/>
      <c r="E23" s="2"/>
      <c r="F23" s="2"/>
      <c r="G23" s="2"/>
      <c r="H23" s="2"/>
      <c r="I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AF23" s="2"/>
      <c r="AG23" s="2"/>
      <c r="AH23" s="2"/>
      <c r="AI23" s="2"/>
      <c r="AJ23" s="2"/>
      <c r="AK23" s="2"/>
      <c r="AL23" s="2"/>
      <c r="AM23" s="2"/>
      <c r="AN23" s="2"/>
    </row>
    <row r="24" s="1" customFormat="1" spans="1:40">
      <c r="A24" s="2"/>
      <c r="B24" s="2"/>
      <c r="C24" s="2"/>
      <c r="D24" s="2"/>
      <c r="E24" s="2"/>
      <c r="F24" s="2"/>
      <c r="G24" s="2"/>
      <c r="H24" s="2"/>
      <c r="I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AF24" s="2"/>
      <c r="AG24" s="2"/>
      <c r="AH24" s="2"/>
      <c r="AI24" s="2"/>
      <c r="AJ24" s="2"/>
      <c r="AK24" s="2"/>
      <c r="AL24" s="2"/>
      <c r="AM24" s="2"/>
      <c r="AN24" s="2"/>
    </row>
    <row r="25" s="1" customFormat="1" spans="1:40">
      <c r="A25" s="2"/>
      <c r="B25" s="2"/>
      <c r="C25" s="2"/>
      <c r="D25" s="2"/>
      <c r="E25" s="2"/>
      <c r="F25" s="2"/>
      <c r="G25" s="2"/>
      <c r="H25" s="2"/>
      <c r="I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AF25" s="2"/>
      <c r="AG25" s="2"/>
      <c r="AH25" s="2"/>
      <c r="AI25" s="2"/>
      <c r="AJ25" s="2"/>
      <c r="AK25" s="2"/>
      <c r="AL25" s="2"/>
      <c r="AM25" s="2"/>
      <c r="AN25" s="2"/>
    </row>
    <row r="26" s="1" customFormat="1" spans="1:40">
      <c r="A26" s="2"/>
      <c r="B26" s="2"/>
      <c r="C26" s="2"/>
      <c r="D26" s="2"/>
      <c r="E26" s="2"/>
      <c r="F26" s="2"/>
      <c r="G26" s="2"/>
      <c r="H26" s="2"/>
      <c r="I26" s="2"/>
      <c r="M26" s="2"/>
      <c r="N26" s="2"/>
      <c r="O26" s="2"/>
      <c r="P26" s="2"/>
      <c r="Q26" s="2"/>
      <c r="R26" s="2"/>
      <c r="S26" s="2"/>
      <c r="T26" s="2"/>
      <c r="U26" s="2"/>
      <c r="AF26" s="2"/>
      <c r="AG26" s="2"/>
      <c r="AH26" s="2"/>
      <c r="AI26" s="2"/>
      <c r="AJ26" s="2"/>
      <c r="AK26" s="2"/>
      <c r="AL26" s="2"/>
      <c r="AM26" s="2"/>
      <c r="AN26" s="2"/>
    </row>
    <row r="27" s="1" customFormat="1" spans="1:40">
      <c r="A27" s="2"/>
      <c r="B27" s="2"/>
      <c r="C27" s="2"/>
      <c r="D27" s="2"/>
      <c r="E27" s="2"/>
      <c r="F27" s="2"/>
      <c r="G27" s="2"/>
      <c r="H27" s="2"/>
      <c r="I27" s="2"/>
      <c r="M27" s="2"/>
      <c r="N27" s="2"/>
      <c r="O27" s="2"/>
      <c r="P27" s="2"/>
      <c r="Q27" s="2"/>
      <c r="R27" s="2"/>
      <c r="S27" s="2"/>
      <c r="T27" s="2"/>
      <c r="U27" s="2"/>
      <c r="AF27" s="2"/>
      <c r="AG27" s="2"/>
      <c r="AH27" s="2"/>
      <c r="AI27" s="2"/>
      <c r="AJ27" s="2"/>
      <c r="AK27" s="2"/>
      <c r="AL27" s="2"/>
      <c r="AM27" s="2"/>
      <c r="AN27" s="2"/>
    </row>
    <row r="28" s="1" customFormat="1" spans="1:40">
      <c r="A28" s="2"/>
      <c r="B28" s="2"/>
      <c r="C28" s="2"/>
      <c r="D28" s="2"/>
      <c r="E28" s="2"/>
      <c r="F28" s="2"/>
      <c r="G28" s="2"/>
      <c r="H28" s="2"/>
      <c r="I28" s="2"/>
      <c r="M28" s="2"/>
      <c r="N28" s="2"/>
      <c r="O28" s="2"/>
      <c r="P28" s="2"/>
      <c r="Q28" s="2"/>
      <c r="R28" s="2"/>
      <c r="S28" s="2"/>
      <c r="T28" s="2"/>
      <c r="U28" s="2"/>
      <c r="AF28" s="2"/>
      <c r="AG28" s="2"/>
      <c r="AH28" s="2"/>
      <c r="AI28" s="2"/>
      <c r="AJ28" s="2"/>
      <c r="AK28" s="2"/>
      <c r="AL28" s="2"/>
      <c r="AM28" s="2"/>
      <c r="AN28" s="2"/>
    </row>
    <row r="29" s="1" customFormat="1" spans="1:40">
      <c r="A29" s="2"/>
      <c r="B29" s="2"/>
      <c r="C29" s="2"/>
      <c r="D29" s="2"/>
      <c r="E29" s="2"/>
      <c r="F29" s="2"/>
      <c r="G29" s="2"/>
      <c r="H29" s="2"/>
      <c r="I29" s="2"/>
      <c r="M29" s="2"/>
      <c r="N29" s="2"/>
      <c r="O29" s="2"/>
      <c r="P29" s="2"/>
      <c r="Q29" s="2"/>
      <c r="R29" s="2"/>
      <c r="S29" s="2"/>
      <c r="T29" s="2"/>
      <c r="U29" s="2"/>
      <c r="AF29" s="2"/>
      <c r="AG29" s="2"/>
      <c r="AH29" s="2"/>
      <c r="AI29" s="2"/>
      <c r="AJ29" s="2"/>
      <c r="AK29" s="2"/>
      <c r="AL29" s="2"/>
      <c r="AM29" s="2"/>
      <c r="AN29" s="2"/>
    </row>
    <row r="30" s="1" customFormat="1" spans="1:40">
      <c r="A30" s="2"/>
      <c r="B30" s="2"/>
      <c r="C30" s="2"/>
      <c r="D30" s="2"/>
      <c r="E30" s="2"/>
      <c r="F30" s="2"/>
      <c r="G30" s="2"/>
      <c r="H30" s="2"/>
      <c r="I30" s="2"/>
      <c r="M30" s="2"/>
      <c r="N30" s="2"/>
      <c r="O30" s="2"/>
      <c r="P30" s="2"/>
      <c r="Q30" s="2"/>
      <c r="R30" s="2"/>
      <c r="S30" s="2"/>
      <c r="T30" s="2"/>
      <c r="U30" s="2"/>
      <c r="AF30" s="2"/>
      <c r="AG30" s="2"/>
      <c r="AH30" s="2"/>
      <c r="AI30" s="2"/>
      <c r="AJ30" s="2"/>
      <c r="AK30" s="2"/>
      <c r="AL30" s="2"/>
      <c r="AM30" s="2"/>
      <c r="AN30" s="2"/>
    </row>
    <row r="31" s="1" customFormat="1" spans="1:40">
      <c r="A31" s="2"/>
      <c r="B31" s="2"/>
      <c r="C31" s="2"/>
      <c r="D31" s="2"/>
      <c r="E31" s="2"/>
      <c r="F31" s="2"/>
      <c r="G31" s="2"/>
      <c r="H31" s="2"/>
      <c r="I31" s="2"/>
      <c r="M31" s="2"/>
      <c r="N31" s="2"/>
      <c r="O31" s="2"/>
      <c r="P31" s="2"/>
      <c r="Q31" s="2"/>
      <c r="R31" s="2"/>
      <c r="S31" s="2"/>
      <c r="T31" s="2"/>
      <c r="U31" s="2"/>
      <c r="AF31" s="2"/>
      <c r="AG31" s="2"/>
      <c r="AH31" s="2"/>
      <c r="AI31" s="2"/>
      <c r="AJ31" s="2"/>
      <c r="AK31" s="2"/>
      <c r="AL31" s="2"/>
      <c r="AM31" s="2"/>
      <c r="AN31" s="2"/>
    </row>
    <row r="32" s="1" customFormat="1" spans="1:40">
      <c r="A32" s="2"/>
      <c r="B32" s="2"/>
      <c r="C32" s="2"/>
      <c r="D32" s="2"/>
      <c r="E32" s="2"/>
      <c r="F32" s="2"/>
      <c r="G32" s="2"/>
      <c r="H32" s="2"/>
      <c r="I32" s="2"/>
      <c r="M32" s="2"/>
      <c r="N32" s="2"/>
      <c r="O32" s="2"/>
      <c r="P32" s="2"/>
      <c r="Q32" s="2"/>
      <c r="R32" s="2"/>
      <c r="S32" s="2"/>
      <c r="T32" s="2"/>
      <c r="U32" s="2"/>
      <c r="AF32" s="2"/>
      <c r="AG32" s="2"/>
      <c r="AH32" s="2"/>
      <c r="AI32" s="2"/>
      <c r="AJ32" s="2"/>
      <c r="AK32" s="2"/>
      <c r="AL32" s="2"/>
      <c r="AM32" s="2"/>
      <c r="AN32" s="2"/>
    </row>
    <row r="33" s="1" customFormat="1" spans="1:40">
      <c r="A33" s="2"/>
      <c r="B33" s="2"/>
      <c r="C33" s="2"/>
      <c r="D33" s="2"/>
      <c r="E33" s="2"/>
      <c r="F33" s="2"/>
      <c r="G33" s="2"/>
      <c r="H33" s="2"/>
      <c r="I33" s="2"/>
      <c r="M33" s="2"/>
      <c r="N33" s="2"/>
      <c r="O33" s="2"/>
      <c r="P33" s="2"/>
      <c r="Q33" s="2"/>
      <c r="R33" s="2"/>
      <c r="S33" s="2"/>
      <c r="T33" s="2"/>
      <c r="U33" s="2"/>
      <c r="AF33" s="2"/>
      <c r="AG33" s="2"/>
      <c r="AH33" s="2"/>
      <c r="AI33" s="2"/>
      <c r="AJ33" s="2"/>
      <c r="AK33" s="2"/>
      <c r="AL33" s="2"/>
      <c r="AM33" s="2"/>
      <c r="AN33" s="2"/>
    </row>
    <row r="34" s="1" customFormat="1" spans="1:40">
      <c r="A34" s="2"/>
      <c r="B34" s="2"/>
      <c r="C34" s="2"/>
      <c r="D34" s="2"/>
      <c r="E34" s="2"/>
      <c r="F34" s="2"/>
      <c r="G34" s="2"/>
      <c r="H34" s="2"/>
      <c r="I34" s="2"/>
      <c r="M34" s="2"/>
      <c r="N34" s="2"/>
      <c r="O34" s="2"/>
      <c r="P34" s="2"/>
      <c r="Q34" s="2"/>
      <c r="R34" s="2"/>
      <c r="S34" s="2"/>
      <c r="T34" s="2"/>
      <c r="U34" s="2"/>
      <c r="AF34" s="2"/>
      <c r="AG34" s="2"/>
      <c r="AH34" s="2"/>
      <c r="AI34" s="2"/>
      <c r="AJ34" s="2"/>
      <c r="AK34" s="2"/>
      <c r="AL34" s="2"/>
      <c r="AM34" s="2"/>
      <c r="AN34" s="2"/>
    </row>
    <row r="35" s="1" customFormat="1" spans="1:40">
      <c r="A35" s="2"/>
      <c r="B35" s="2"/>
      <c r="C35" s="2"/>
      <c r="D35" s="2"/>
      <c r="E35" s="2"/>
      <c r="F35" s="2"/>
      <c r="G35" s="2"/>
      <c r="H35" s="2"/>
      <c r="I35" s="2"/>
      <c r="M35" s="2"/>
      <c r="N35" s="2"/>
      <c r="O35" s="2"/>
      <c r="P35" s="2"/>
      <c r="Q35" s="2"/>
      <c r="R35" s="2"/>
      <c r="S35" s="2"/>
      <c r="T35" s="2"/>
      <c r="U35" s="2"/>
      <c r="AF35" s="2"/>
      <c r="AG35" s="2"/>
      <c r="AH35" s="2"/>
      <c r="AI35" s="2"/>
      <c r="AJ35" s="2"/>
      <c r="AK35" s="2"/>
      <c r="AL35" s="2"/>
      <c r="AM35" s="2"/>
      <c r="AN35" s="2"/>
    </row>
    <row r="36" s="1" customFormat="1" spans="1:40">
      <c r="A36" s="2"/>
      <c r="B36" s="2"/>
      <c r="C36" s="2"/>
      <c r="D36" s="2"/>
      <c r="E36" s="2"/>
      <c r="F36" s="2"/>
      <c r="G36" s="2"/>
      <c r="H36" s="2"/>
      <c r="I36" s="2"/>
      <c r="M36" s="2"/>
      <c r="N36" s="2"/>
      <c r="O36" s="2"/>
      <c r="P36" s="2"/>
      <c r="Q36" s="2"/>
      <c r="R36" s="2"/>
      <c r="T36" s="2"/>
      <c r="U36" s="2"/>
      <c r="AF36" s="2"/>
      <c r="AG36" s="2"/>
      <c r="AH36" s="2"/>
      <c r="AI36" s="2"/>
      <c r="AJ36" s="2"/>
      <c r="AK36" s="2"/>
      <c r="AL36" s="2"/>
      <c r="AM36" s="2"/>
      <c r="AN36" s="2"/>
    </row>
    <row r="37" s="1" customFormat="1" spans="1:40">
      <c r="A37" s="2"/>
      <c r="B37" s="2"/>
      <c r="C37" s="2"/>
      <c r="D37" s="2"/>
      <c r="E37" s="2"/>
      <c r="F37" s="2"/>
      <c r="G37" s="2"/>
      <c r="H37" s="2"/>
      <c r="I37" s="2"/>
      <c r="M37" s="2"/>
      <c r="N37" s="2"/>
      <c r="O37" s="2"/>
      <c r="P37" s="2"/>
      <c r="Q37" s="2"/>
      <c r="R37" s="2"/>
      <c r="S37" s="2"/>
      <c r="T37" s="2"/>
      <c r="U37" s="2"/>
      <c r="W37" s="2"/>
      <c r="AF37" s="2"/>
      <c r="AG37" s="2"/>
      <c r="AH37" s="2"/>
      <c r="AI37" s="2"/>
      <c r="AJ37" s="2"/>
      <c r="AK37" s="2"/>
      <c r="AL37" s="2"/>
      <c r="AM37" s="2"/>
      <c r="AN37" s="2"/>
    </row>
    <row r="38" s="1" customFormat="1" spans="1:40">
      <c r="A38" s="2"/>
      <c r="B38" s="2"/>
      <c r="C38" s="2"/>
      <c r="D38" s="2"/>
      <c r="E38" s="2"/>
      <c r="F38" s="2"/>
      <c r="G38" s="2"/>
      <c r="H38" s="2"/>
      <c r="I38" s="2"/>
      <c r="M38" s="2"/>
      <c r="N38" s="2"/>
      <c r="O38" s="2"/>
      <c r="P38" s="2"/>
      <c r="Q38" s="2"/>
      <c r="R38" s="2"/>
      <c r="S38" s="2"/>
      <c r="T38" s="2"/>
      <c r="U38" s="2"/>
      <c r="AF38" s="2"/>
      <c r="AG38" s="2"/>
      <c r="AH38" s="2"/>
      <c r="AI38" s="2"/>
      <c r="AJ38" s="2"/>
      <c r="AK38" s="2"/>
      <c r="AL38" s="2"/>
      <c r="AM38" s="2"/>
      <c r="AN38" s="2"/>
    </row>
    <row r="39" s="1" customFormat="1" spans="1:40">
      <c r="A39" s="2"/>
      <c r="B39" s="2"/>
      <c r="C39" s="2"/>
      <c r="D39" s="2"/>
      <c r="E39" s="2"/>
      <c r="F39" s="2"/>
      <c r="G39" s="2"/>
      <c r="H39" s="2"/>
      <c r="I39" s="2"/>
      <c r="M39" s="2"/>
      <c r="N39" s="2"/>
      <c r="O39" s="2"/>
      <c r="P39" s="2"/>
      <c r="Q39" s="2"/>
      <c r="R39" s="2"/>
      <c r="S39" s="2"/>
      <c r="T39" s="2"/>
      <c r="U39" s="2"/>
      <c r="AF39" s="2"/>
      <c r="AG39" s="2"/>
      <c r="AH39" s="2"/>
      <c r="AI39" s="2"/>
      <c r="AJ39" s="2"/>
      <c r="AK39" s="2"/>
      <c r="AL39" s="2"/>
      <c r="AM39" s="2"/>
      <c r="AN39" s="2"/>
    </row>
    <row r="40" s="1" customFormat="1" spans="1:40">
      <c r="A40" s="2"/>
      <c r="B40" s="2"/>
      <c r="C40" s="2"/>
      <c r="D40" s="2"/>
      <c r="E40" s="2"/>
      <c r="F40" s="2"/>
      <c r="G40" s="2"/>
      <c r="H40" s="2"/>
      <c r="I40" s="2"/>
      <c r="M40" s="2"/>
      <c r="N40" s="2"/>
      <c r="O40" s="2"/>
      <c r="P40" s="2"/>
      <c r="Q40" s="2"/>
      <c r="R40" s="2"/>
      <c r="S40" s="2"/>
      <c r="T40" s="2"/>
      <c r="U40" s="2"/>
      <c r="AF40" s="2"/>
      <c r="AG40" s="2"/>
      <c r="AH40" s="2"/>
      <c r="AI40" s="2"/>
      <c r="AJ40" s="2"/>
      <c r="AK40" s="2"/>
      <c r="AL40" s="2"/>
      <c r="AM40" s="2"/>
      <c r="AN40" s="2"/>
    </row>
    <row r="41" s="1" customFormat="1" spans="1:1">
      <c r="A41" s="2"/>
    </row>
    <row r="42" s="1" customFormat="1" spans="1:1">
      <c r="A42" s="2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面试预约入职信息表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大禹贤德</cp:lastModifiedBy>
  <dcterms:created xsi:type="dcterms:W3CDTF">2022-02-22T01:00:00Z</dcterms:created>
  <dcterms:modified xsi:type="dcterms:W3CDTF">2022-08-17T22:42:03Z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23FD4A9AB10D42DC953962B3BDA7ABD9</vt:lpwstr>
  </property>
  <property fmtid="{D5CDD505-2E9C-101B-9397-08002B2CF9AE}" pid="3" name="KSOProductBuildVer">
    <vt:lpwstr>2052-11.1.0.12313</vt:lpwstr>
  </property>
  <property fmtid="{D5CDD505-2E9C-101B-9397-08002B2CF9AE}" pid="4" name="KSOTemplateUUID">
    <vt:lpwstr>v1.0_mb_qOZfG+Aq8jXFrw/KPWgXmQ==</vt:lpwstr>
  </property>
</Properties>
</file>